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798\Documents\GitHub\Fish-and-Ag-Benefits-MS\Data\"/>
    </mc:Choice>
  </mc:AlternateContent>
  <xr:revisionPtr revIDLastSave="0" documentId="13_ncr:1_{CC0A436F-6B10-4FB4-9C89-7E79A73BB72A}" xr6:coauthVersionLast="47" xr6:coauthVersionMax="47" xr10:uidLastSave="{00000000-0000-0000-0000-000000000000}"/>
  <bookViews>
    <workbookView xWindow="-98" yWindow="-98" windowWidth="21795" windowHeight="12975" firstSheet="2" activeTab="5" xr2:uid="{08B61827-2506-4572-AD7D-9F85AA3E5DEB}"/>
  </bookViews>
  <sheets>
    <sheet name="kouba_et_al_2025_lasso_coeffs" sheetId="1" r:id="rId1"/>
    <sheet name="kouba_et_al_2025_top_3_marss_co" sheetId="2" r:id="rId2"/>
    <sheet name="Ensemble attempt" sheetId="3" r:id="rId3"/>
    <sheet name="Pivot incl. Intercept" sheetId="11" r:id="rId4"/>
    <sheet name="Coefs for Ensemble Calc" sheetId="12" r:id="rId5"/>
    <sheet name="Double-sp ensemble calc" sheetId="13" r:id="rId6"/>
    <sheet name="pred_coef_stat_sp" sheetId="9" r:id="rId7"/>
    <sheet name="pred_stat_sp" sheetId="10" r:id="rId8"/>
  </sheets>
  <definedNames>
    <definedName name="_xlnm._FilterDatabase" localSheetId="0" hidden="1">kouba_et_al_2025_lasso_coeffs!$A$1:$H$23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3" l="1"/>
  <c r="N6" i="13"/>
  <c r="N5" i="13"/>
  <c r="N15" i="13"/>
  <c r="N13" i="13"/>
  <c r="N4" i="13"/>
  <c r="N11" i="13"/>
  <c r="N12" i="13"/>
  <c r="N14" i="13"/>
  <c r="N10" i="13"/>
  <c r="N9" i="13"/>
  <c r="N7" i="13"/>
  <c r="H18" i="12"/>
  <c r="H17" i="12"/>
  <c r="H24" i="12"/>
  <c r="H23" i="12"/>
  <c r="H16" i="12"/>
  <c r="H22" i="12"/>
  <c r="H19" i="12"/>
  <c r="H21" i="12"/>
  <c r="H20" i="12"/>
  <c r="H5" i="12"/>
  <c r="H6" i="12"/>
  <c r="H8" i="12"/>
  <c r="H3" i="12"/>
  <c r="H9" i="12"/>
  <c r="H10" i="12"/>
  <c r="H7" i="12"/>
  <c r="H4" i="12"/>
  <c r="H21" i="10"/>
  <c r="H22" i="10"/>
  <c r="H23" i="10"/>
  <c r="H24" i="10"/>
  <c r="H25" i="10"/>
  <c r="H26" i="10"/>
  <c r="H27" i="10"/>
  <c r="H20" i="10"/>
</calcChain>
</file>

<file path=xl/sharedStrings.xml><?xml version="1.0" encoding="utf-8"?>
<sst xmlns="http://schemas.openxmlformats.org/spreadsheetml/2006/main" count="694" uniqueCount="69">
  <si>
    <t>stats_tool</t>
  </si>
  <si>
    <t>predicted</t>
  </si>
  <si>
    <t>predictors</t>
  </si>
  <si>
    <t>method</t>
  </si>
  <si>
    <t>species</t>
  </si>
  <si>
    <t>Predictor</t>
  </si>
  <si>
    <t>Value</t>
  </si>
  <si>
    <t>Greater Hydrologic Benefit value associated with</t>
  </si>
  <si>
    <t>lasso</t>
  </si>
  <si>
    <t>jps</t>
  </si>
  <si>
    <t>hydro</t>
  </si>
  <si>
    <t>lasso_jps_on_hydro</t>
  </si>
  <si>
    <t>coho</t>
  </si>
  <si>
    <t>Intercept</t>
  </si>
  <si>
    <t>(Intercept)</t>
  </si>
  <si>
    <t>f1_recon_120</t>
  </si>
  <si>
    <t>Earlier fall reconnection (during parents' spawning)</t>
  </si>
  <si>
    <t>f2_FA_Dif_num</t>
  </si>
  <si>
    <t>Smaller fall pulse (as juvenile fish)</t>
  </si>
  <si>
    <t>w1_Wet_Tim</t>
  </si>
  <si>
    <t>Earlier wet season onset (as eggs and fry)</t>
  </si>
  <si>
    <t>chinook</t>
  </si>
  <si>
    <t>w1_Wet_BFL_Mag_50</t>
  </si>
  <si>
    <t>Smaller wet season baseflows (as eggs and hatchlings)</t>
  </si>
  <si>
    <t>s1_SP_ROC_Max</t>
  </si>
  <si>
    <t>Slower max. rate of change, spring recession (as outmigrating smolt)</t>
  </si>
  <si>
    <t>juv</t>
  </si>
  <si>
    <t>lasso_juv_on_hydro</t>
  </si>
  <si>
    <t>f1_FA_Dif_num</t>
  </si>
  <si>
    <t>Larger fall flow increase (during parents' spawning)</t>
  </si>
  <si>
    <t>Smaller fall flow increase (as juvenile fish)</t>
  </si>
  <si>
    <t>s1_SP_ROC</t>
  </si>
  <si>
    <t>Slower rate of change, spring recession (as recent hatchlings)</t>
  </si>
  <si>
    <t>Lower wet season baseflows (as eggs and hatchlings)</t>
  </si>
  <si>
    <t>hydro_and_spawner</t>
  </si>
  <si>
    <t>lasso_juv_on_hydro_and_spawners</t>
  </si>
  <si>
    <t>chinook_spawners_zscored</t>
  </si>
  <si>
    <t>Abundance of spawners (parents of designated cohort)</t>
  </si>
  <si>
    <t>Earlier wet season onset (as eggs and hatchlings)</t>
  </si>
  <si>
    <t>marss_jps_on_hydro</t>
  </si>
  <si>
    <t>marss_juv_on_hydro</t>
  </si>
  <si>
    <t>marss_juv_on_hydro_and_spawners</t>
  </si>
  <si>
    <t>AICc</t>
  </si>
  <si>
    <t>d1_DS_Mag_90</t>
  </si>
  <si>
    <t>w2_Wet_BFL_Mag_50</t>
  </si>
  <si>
    <t>d1_DS_Mag_50</t>
  </si>
  <si>
    <t>Value_spawner</t>
  </si>
  <si>
    <t>marss</t>
  </si>
  <si>
    <t>Row Labels</t>
  </si>
  <si>
    <t>Grand Total</t>
  </si>
  <si>
    <t>Column Labels</t>
  </si>
  <si>
    <t>Sum of Value</t>
  </si>
  <si>
    <t>chinook Total</t>
  </si>
  <si>
    <t>coho Total</t>
  </si>
  <si>
    <t>Count of Value</t>
  </si>
  <si>
    <t>ensemble_mean_coef</t>
  </si>
  <si>
    <t>chinook_lasso_jps_on_hydro</t>
  </si>
  <si>
    <t>chinook_lasso_juv_on_hydro</t>
  </si>
  <si>
    <t>chinook_lasso_juv_on_hydro_and_spawners</t>
  </si>
  <si>
    <t>chinook_marss_jps_on_hydro</t>
  </si>
  <si>
    <t>chinook_marss_juv_on_hydro</t>
  </si>
  <si>
    <t>chinook_marss_juv_on_hydro_and_spawners</t>
  </si>
  <si>
    <t>coho_lasso_jps_on_hydro</t>
  </si>
  <si>
    <t>coho_lasso_juv_on_hydro</t>
  </si>
  <si>
    <t>coho_lasso_juv_on_hydro_and_spawners</t>
  </si>
  <si>
    <t>coho_marss_jps_on_hydro</t>
  </si>
  <si>
    <t>coho_marss_juv_on_hydro</t>
  </si>
  <si>
    <t>coho_marss_juv_on_hydro_and_spawners</t>
  </si>
  <si>
    <t>ensemble_mean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</si>
</sst>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textRotation="4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uba, Claire" refreshedDate="46036.513742129631" createdVersion="8" refreshedVersion="8" minRefreshableVersion="3" recordCount="34" xr:uid="{C2651706-CE0F-4354-A1BD-DFDD4F082D2E}">
  <cacheSource type="worksheet">
    <worksheetSource ref="A1:G19" sheet="Ensemble attempt"/>
  </cacheSource>
  <cacheFields count="7">
    <cacheField name="stats_tool" numFmtId="0">
      <sharedItems/>
    </cacheField>
    <cacheField name="predicted" numFmtId="0">
      <sharedItems count="2">
        <s v="jps"/>
        <s v="juv"/>
      </sharedItems>
    </cacheField>
    <cacheField name="predictors" numFmtId="0">
      <sharedItems count="2">
        <s v="hydro"/>
        <s v="hydro_and_spawner"/>
      </sharedItems>
    </cacheField>
    <cacheField name="method" numFmtId="0">
      <sharedItems count="6">
        <s v="lasso_jps_on_hydro"/>
        <s v="lasso_juv_on_hydro"/>
        <s v="lasso_juv_on_hydro_and_spawners"/>
        <s v="marss_jps_on_hydro"/>
        <s v="marss_juv_on_hydro"/>
        <s v="marss_juv_on_hydro_and_spawners"/>
      </sharedItems>
    </cacheField>
    <cacheField name="species" numFmtId="0">
      <sharedItems count="2">
        <s v="coho"/>
        <s v="chinook"/>
      </sharedItems>
    </cacheField>
    <cacheField name="Predictor" numFmtId="0">
      <sharedItems count="11">
        <s v="f1_recon_120"/>
        <s v="f2_FA_Dif_num"/>
        <s v="w1_Wet_Tim"/>
        <s v="w1_Wet_BFL_Mag_50"/>
        <s v="s1_SP_ROC_Max"/>
        <s v="f1_FA_Dif_num"/>
        <s v="s1_SP_ROC"/>
        <s v="chinook_spawners_zscored"/>
        <s v="d1_DS_Mag_90"/>
        <s v="w2_Wet_BFL_Mag_50"/>
        <s v="d1_DS_Mag_50"/>
      </sharedItems>
    </cacheField>
    <cacheField name="Value" numFmtId="0">
      <sharedItems containsSemiMixedTypes="0" containsString="0" containsNumber="1" minValue="-0.60499999999999998" maxValue="0.55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uba, Claire" refreshedDate="46036.601060416666" createdVersion="8" refreshedVersion="8" minRefreshableVersion="3" recordCount="40" xr:uid="{C7C426CD-20A7-48D8-A5A6-2280D2032512}">
  <cacheSource type="worksheet">
    <worksheetSource ref="A1:G41" sheet="Ensemble attempt"/>
  </cacheSource>
  <cacheFields count="7">
    <cacheField name="stats_tool" numFmtId="0">
      <sharedItems/>
    </cacheField>
    <cacheField name="predicted" numFmtId="0">
      <sharedItems count="2">
        <s v="jps"/>
        <s v="juv"/>
      </sharedItems>
    </cacheField>
    <cacheField name="predictors" numFmtId="0">
      <sharedItems count="2">
        <s v="hydro"/>
        <s v="hydro_and_spawner"/>
      </sharedItems>
    </cacheField>
    <cacheField name="method" numFmtId="0">
      <sharedItems count="6">
        <s v="marss_jps_on_hydro"/>
        <s v="marss_juv_on_hydro"/>
        <s v="marss_juv_on_hydro_and_spawners"/>
        <s v="lasso_jps_on_hydro"/>
        <s v="lasso_juv_on_hydro"/>
        <s v="lasso_juv_on_hydro_and_spawners"/>
      </sharedItems>
    </cacheField>
    <cacheField name="species" numFmtId="0">
      <sharedItems count="2">
        <s v="coho"/>
        <s v="chinook"/>
      </sharedItems>
    </cacheField>
    <cacheField name="Predictor" numFmtId="0">
      <sharedItems count="12">
        <s v="f1_recon_120"/>
        <s v="f1_FA_Dif_num"/>
        <s v="w1_Wet_BFL_Mag_50"/>
        <s v="d1_DS_Mag_90"/>
        <s v="s1_SP_ROC_Max"/>
        <s v="f2_FA_Dif_num"/>
        <s v="w2_Wet_BFL_Mag_50"/>
        <s v="d1_DS_Mag_50"/>
        <s v="Intercept"/>
        <s v="w1_Wet_Tim"/>
        <s v="s1_SP_ROC"/>
        <s v="chinook_spawners_zscored"/>
      </sharedItems>
    </cacheField>
    <cacheField name="Value" numFmtId="0">
      <sharedItems containsSemiMixedTypes="0" containsString="0" containsNumber="1" minValue="-0.60499999999999998" maxValue="5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lasso"/>
    <x v="0"/>
    <x v="0"/>
    <x v="0"/>
    <x v="0"/>
    <x v="0"/>
    <n v="-0.155"/>
  </r>
  <r>
    <s v="lasso"/>
    <x v="0"/>
    <x v="0"/>
    <x v="0"/>
    <x v="0"/>
    <x v="1"/>
    <n v="-1.2E-2"/>
  </r>
  <r>
    <s v="lasso"/>
    <x v="0"/>
    <x v="0"/>
    <x v="0"/>
    <x v="0"/>
    <x v="2"/>
    <n v="-7.0000000000000001E-3"/>
  </r>
  <r>
    <s v="lasso"/>
    <x v="0"/>
    <x v="0"/>
    <x v="0"/>
    <x v="1"/>
    <x v="3"/>
    <n v="-0.18099999999999999"/>
  </r>
  <r>
    <s v="lasso"/>
    <x v="0"/>
    <x v="0"/>
    <x v="0"/>
    <x v="1"/>
    <x v="4"/>
    <n v="-4.1000000000000002E-2"/>
  </r>
  <r>
    <s v="lasso"/>
    <x v="1"/>
    <x v="0"/>
    <x v="1"/>
    <x v="0"/>
    <x v="5"/>
    <n v="0.16200000000000001"/>
  </r>
  <r>
    <s v="lasso"/>
    <x v="1"/>
    <x v="0"/>
    <x v="1"/>
    <x v="0"/>
    <x v="1"/>
    <n v="-0.13"/>
  </r>
  <r>
    <s v="lasso"/>
    <x v="1"/>
    <x v="0"/>
    <x v="1"/>
    <x v="0"/>
    <x v="6"/>
    <n v="-0.02"/>
  </r>
  <r>
    <s v="lasso"/>
    <x v="1"/>
    <x v="0"/>
    <x v="1"/>
    <x v="1"/>
    <x v="3"/>
    <n v="-0.309"/>
  </r>
  <r>
    <s v="lasso"/>
    <x v="1"/>
    <x v="1"/>
    <x v="2"/>
    <x v="0"/>
    <x v="5"/>
    <n v="0.16200000000000001"/>
  </r>
  <r>
    <s v="lasso"/>
    <x v="1"/>
    <x v="1"/>
    <x v="2"/>
    <x v="0"/>
    <x v="1"/>
    <n v="-0.13"/>
  </r>
  <r>
    <s v="lasso"/>
    <x v="1"/>
    <x v="1"/>
    <x v="2"/>
    <x v="0"/>
    <x v="6"/>
    <n v="-0.02"/>
  </r>
  <r>
    <s v="lasso"/>
    <x v="1"/>
    <x v="1"/>
    <x v="2"/>
    <x v="1"/>
    <x v="3"/>
    <n v="-0.314"/>
  </r>
  <r>
    <s v="lasso"/>
    <x v="1"/>
    <x v="1"/>
    <x v="2"/>
    <x v="1"/>
    <x v="7"/>
    <n v="0.13900000000000001"/>
  </r>
  <r>
    <s v="lasso"/>
    <x v="1"/>
    <x v="1"/>
    <x v="2"/>
    <x v="1"/>
    <x v="4"/>
    <n v="-6.2E-2"/>
  </r>
  <r>
    <s v="lasso"/>
    <x v="1"/>
    <x v="1"/>
    <x v="2"/>
    <x v="1"/>
    <x v="2"/>
    <n v="-1.2E-2"/>
  </r>
  <r>
    <s v="marss"/>
    <x v="0"/>
    <x v="0"/>
    <x v="3"/>
    <x v="0"/>
    <x v="0"/>
    <n v="-0.40300000000000002"/>
  </r>
  <r>
    <s v="marss"/>
    <x v="0"/>
    <x v="0"/>
    <x v="3"/>
    <x v="0"/>
    <x v="5"/>
    <n v="0.30599999999999999"/>
  </r>
  <r>
    <s v="marss"/>
    <x v="0"/>
    <x v="0"/>
    <x v="3"/>
    <x v="0"/>
    <x v="3"/>
    <n v="0.13600000000000001"/>
  </r>
  <r>
    <s v="marss"/>
    <x v="0"/>
    <x v="0"/>
    <x v="3"/>
    <x v="1"/>
    <x v="8"/>
    <n v="6.9000000000000006E-2"/>
  </r>
  <r>
    <s v="marss"/>
    <x v="0"/>
    <x v="0"/>
    <x v="3"/>
    <x v="1"/>
    <x v="4"/>
    <n v="-5.7000000000000002E-2"/>
  </r>
  <r>
    <s v="marss"/>
    <x v="0"/>
    <x v="0"/>
    <x v="3"/>
    <x v="1"/>
    <x v="0"/>
    <n v="-3.9E-2"/>
  </r>
  <r>
    <s v="marss"/>
    <x v="1"/>
    <x v="0"/>
    <x v="4"/>
    <x v="0"/>
    <x v="5"/>
    <n v="0.20599999999999999"/>
  </r>
  <r>
    <s v="marss"/>
    <x v="1"/>
    <x v="0"/>
    <x v="4"/>
    <x v="0"/>
    <x v="1"/>
    <n v="-0.13600000000000001"/>
  </r>
  <r>
    <s v="marss"/>
    <x v="1"/>
    <x v="0"/>
    <x v="4"/>
    <x v="0"/>
    <x v="9"/>
    <n v="0.08"/>
  </r>
  <r>
    <s v="marss"/>
    <x v="1"/>
    <x v="0"/>
    <x v="4"/>
    <x v="1"/>
    <x v="3"/>
    <n v="-0.13500000000000001"/>
  </r>
  <r>
    <s v="marss"/>
    <x v="1"/>
    <x v="0"/>
    <x v="4"/>
    <x v="1"/>
    <x v="4"/>
    <n v="-0.106"/>
  </r>
  <r>
    <s v="marss"/>
    <x v="1"/>
    <x v="0"/>
    <x v="4"/>
    <x v="1"/>
    <x v="10"/>
    <n v="8.8999999999999996E-2"/>
  </r>
  <r>
    <s v="marss"/>
    <x v="1"/>
    <x v="1"/>
    <x v="5"/>
    <x v="0"/>
    <x v="5"/>
    <n v="0.55000000000000004"/>
  </r>
  <r>
    <s v="marss"/>
    <x v="1"/>
    <x v="1"/>
    <x v="5"/>
    <x v="0"/>
    <x v="0"/>
    <n v="-0.60499999999999998"/>
  </r>
  <r>
    <s v="marss"/>
    <x v="1"/>
    <x v="1"/>
    <x v="5"/>
    <x v="0"/>
    <x v="8"/>
    <n v="0.22900000000000001"/>
  </r>
  <r>
    <s v="marss"/>
    <x v="1"/>
    <x v="1"/>
    <x v="5"/>
    <x v="1"/>
    <x v="4"/>
    <n v="-0.11600000000000001"/>
  </r>
  <r>
    <s v="marss"/>
    <x v="1"/>
    <x v="1"/>
    <x v="5"/>
    <x v="1"/>
    <x v="3"/>
    <n v="-0.13200000000000001"/>
  </r>
  <r>
    <s v="marss"/>
    <x v="1"/>
    <x v="1"/>
    <x v="5"/>
    <x v="1"/>
    <x v="0"/>
    <n v="-6.2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marss"/>
    <x v="0"/>
    <x v="0"/>
    <x v="0"/>
    <x v="0"/>
    <x v="0"/>
    <n v="-0.40300000000000002"/>
  </r>
  <r>
    <s v="marss"/>
    <x v="0"/>
    <x v="0"/>
    <x v="0"/>
    <x v="0"/>
    <x v="1"/>
    <n v="0.30599999999999999"/>
  </r>
  <r>
    <s v="marss"/>
    <x v="0"/>
    <x v="0"/>
    <x v="0"/>
    <x v="0"/>
    <x v="2"/>
    <n v="0.13600000000000001"/>
  </r>
  <r>
    <s v="marss"/>
    <x v="0"/>
    <x v="0"/>
    <x v="0"/>
    <x v="1"/>
    <x v="3"/>
    <n v="6.9000000000000006E-2"/>
  </r>
  <r>
    <s v="marss"/>
    <x v="0"/>
    <x v="0"/>
    <x v="0"/>
    <x v="1"/>
    <x v="4"/>
    <n v="-5.7000000000000002E-2"/>
  </r>
  <r>
    <s v="marss"/>
    <x v="0"/>
    <x v="0"/>
    <x v="0"/>
    <x v="1"/>
    <x v="0"/>
    <n v="-3.9E-2"/>
  </r>
  <r>
    <s v="marss"/>
    <x v="1"/>
    <x v="0"/>
    <x v="1"/>
    <x v="0"/>
    <x v="1"/>
    <n v="0.20599999999999999"/>
  </r>
  <r>
    <s v="marss"/>
    <x v="1"/>
    <x v="0"/>
    <x v="1"/>
    <x v="0"/>
    <x v="5"/>
    <n v="-0.13600000000000001"/>
  </r>
  <r>
    <s v="marss"/>
    <x v="1"/>
    <x v="0"/>
    <x v="1"/>
    <x v="0"/>
    <x v="6"/>
    <n v="0.08"/>
  </r>
  <r>
    <s v="marss"/>
    <x v="1"/>
    <x v="0"/>
    <x v="1"/>
    <x v="1"/>
    <x v="2"/>
    <n v="-0.13500000000000001"/>
  </r>
  <r>
    <s v="marss"/>
    <x v="1"/>
    <x v="0"/>
    <x v="1"/>
    <x v="1"/>
    <x v="4"/>
    <n v="-0.106"/>
  </r>
  <r>
    <s v="marss"/>
    <x v="1"/>
    <x v="0"/>
    <x v="1"/>
    <x v="1"/>
    <x v="7"/>
    <n v="8.8999999999999996E-2"/>
  </r>
  <r>
    <s v="marss"/>
    <x v="1"/>
    <x v="1"/>
    <x v="2"/>
    <x v="0"/>
    <x v="1"/>
    <n v="0.55000000000000004"/>
  </r>
  <r>
    <s v="marss"/>
    <x v="1"/>
    <x v="1"/>
    <x v="2"/>
    <x v="0"/>
    <x v="0"/>
    <n v="-0.60499999999999998"/>
  </r>
  <r>
    <s v="marss"/>
    <x v="1"/>
    <x v="1"/>
    <x v="2"/>
    <x v="0"/>
    <x v="3"/>
    <n v="0.22900000000000001"/>
  </r>
  <r>
    <s v="marss"/>
    <x v="1"/>
    <x v="1"/>
    <x v="2"/>
    <x v="1"/>
    <x v="4"/>
    <n v="-0.11600000000000001"/>
  </r>
  <r>
    <s v="marss"/>
    <x v="1"/>
    <x v="1"/>
    <x v="2"/>
    <x v="1"/>
    <x v="2"/>
    <n v="-0.13200000000000001"/>
  </r>
  <r>
    <s v="marss"/>
    <x v="1"/>
    <x v="1"/>
    <x v="2"/>
    <x v="1"/>
    <x v="0"/>
    <n v="-6.2E-2"/>
  </r>
  <r>
    <s v="lasso"/>
    <x v="0"/>
    <x v="0"/>
    <x v="3"/>
    <x v="0"/>
    <x v="8"/>
    <n v="1.5920000000000001"/>
  </r>
  <r>
    <s v="lasso"/>
    <x v="0"/>
    <x v="0"/>
    <x v="3"/>
    <x v="0"/>
    <x v="0"/>
    <n v="-0.155"/>
  </r>
  <r>
    <s v="lasso"/>
    <x v="0"/>
    <x v="0"/>
    <x v="3"/>
    <x v="0"/>
    <x v="5"/>
    <n v="-1.2E-2"/>
  </r>
  <r>
    <s v="lasso"/>
    <x v="0"/>
    <x v="0"/>
    <x v="3"/>
    <x v="0"/>
    <x v="9"/>
    <n v="-7.0000000000000001E-3"/>
  </r>
  <r>
    <s v="lasso"/>
    <x v="0"/>
    <x v="0"/>
    <x v="3"/>
    <x v="1"/>
    <x v="8"/>
    <n v="1.944"/>
  </r>
  <r>
    <s v="lasso"/>
    <x v="0"/>
    <x v="0"/>
    <x v="3"/>
    <x v="1"/>
    <x v="2"/>
    <n v="-0.18099999999999999"/>
  </r>
  <r>
    <s v="lasso"/>
    <x v="0"/>
    <x v="0"/>
    <x v="3"/>
    <x v="1"/>
    <x v="4"/>
    <n v="-4.1000000000000002E-2"/>
  </r>
  <r>
    <s v="lasso"/>
    <x v="1"/>
    <x v="0"/>
    <x v="4"/>
    <x v="0"/>
    <x v="8"/>
    <n v="3.8719999999999999"/>
  </r>
  <r>
    <s v="lasso"/>
    <x v="1"/>
    <x v="0"/>
    <x v="4"/>
    <x v="0"/>
    <x v="1"/>
    <n v="0.16200000000000001"/>
  </r>
  <r>
    <s v="lasso"/>
    <x v="1"/>
    <x v="0"/>
    <x v="4"/>
    <x v="0"/>
    <x v="5"/>
    <n v="-0.13"/>
  </r>
  <r>
    <s v="lasso"/>
    <x v="1"/>
    <x v="0"/>
    <x v="4"/>
    <x v="0"/>
    <x v="10"/>
    <n v="-0.02"/>
  </r>
  <r>
    <s v="lasso"/>
    <x v="1"/>
    <x v="0"/>
    <x v="4"/>
    <x v="1"/>
    <x v="8"/>
    <n v="5.45"/>
  </r>
  <r>
    <s v="lasso"/>
    <x v="1"/>
    <x v="0"/>
    <x v="4"/>
    <x v="1"/>
    <x v="2"/>
    <n v="-0.309"/>
  </r>
  <r>
    <s v="lasso"/>
    <x v="1"/>
    <x v="1"/>
    <x v="5"/>
    <x v="0"/>
    <x v="8"/>
    <n v="3.8719999999999999"/>
  </r>
  <r>
    <s v="lasso"/>
    <x v="1"/>
    <x v="1"/>
    <x v="5"/>
    <x v="0"/>
    <x v="1"/>
    <n v="0.16200000000000001"/>
  </r>
  <r>
    <s v="lasso"/>
    <x v="1"/>
    <x v="1"/>
    <x v="5"/>
    <x v="0"/>
    <x v="5"/>
    <n v="-0.13"/>
  </r>
  <r>
    <s v="lasso"/>
    <x v="1"/>
    <x v="1"/>
    <x v="5"/>
    <x v="0"/>
    <x v="10"/>
    <n v="-0.02"/>
  </r>
  <r>
    <s v="lasso"/>
    <x v="1"/>
    <x v="1"/>
    <x v="5"/>
    <x v="1"/>
    <x v="8"/>
    <n v="5.4420000000000002"/>
  </r>
  <r>
    <s v="lasso"/>
    <x v="1"/>
    <x v="1"/>
    <x v="5"/>
    <x v="1"/>
    <x v="2"/>
    <n v="-0.314"/>
  </r>
  <r>
    <s v="lasso"/>
    <x v="1"/>
    <x v="1"/>
    <x v="5"/>
    <x v="1"/>
    <x v="11"/>
    <n v="0.13900000000000001"/>
  </r>
  <r>
    <s v="lasso"/>
    <x v="1"/>
    <x v="1"/>
    <x v="5"/>
    <x v="1"/>
    <x v="4"/>
    <n v="-6.2E-2"/>
  </r>
  <r>
    <s v="lasso"/>
    <x v="1"/>
    <x v="1"/>
    <x v="5"/>
    <x v="1"/>
    <x v="9"/>
    <n v="-1.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2FE0D-8C62-40B2-AF4E-B148882FC4E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8" firstHeaderRow="1" firstDataRow="3" firstDataCol="1"/>
  <pivotFields count="7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7">
        <item x="3"/>
        <item x="4"/>
        <item x="5"/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13">
        <item x="11"/>
        <item x="7"/>
        <item x="3"/>
        <item x="1"/>
        <item x="0"/>
        <item x="5"/>
        <item x="8"/>
        <item x="10"/>
        <item x="4"/>
        <item x="2"/>
        <item x="9"/>
        <item x="6"/>
        <item t="default"/>
      </items>
    </pivotField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4"/>
    <field x="3"/>
  </colFields>
  <col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colItems>
  <dataFields count="1">
    <dataField name="Sum of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17CD3-D9C3-4EC6-A83B-EFD4D0D850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7" firstHeaderRow="1" firstDataRow="3" firstDataCol="1"/>
  <pivotFields count="7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12">
        <item x="7"/>
        <item x="10"/>
        <item x="8"/>
        <item x="5"/>
        <item x="0"/>
        <item x="1"/>
        <item x="6"/>
        <item x="4"/>
        <item x="3"/>
        <item x="2"/>
        <item x="9"/>
        <item t="default"/>
      </items>
    </pivotField>
    <pivotField dataField="1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4"/>
    <field x="3"/>
  </colFields>
  <col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colItems>
  <dataFields count="1">
    <dataField name="Sum of Value" fld="6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E49D-A540-4089-813C-581604C9496E}">
  <dimension ref="A1:H23"/>
  <sheetViews>
    <sheetView topLeftCell="B1" workbookViewId="0">
      <selection activeCell="B1" sqref="B1:H23"/>
    </sheetView>
  </sheetViews>
  <sheetFormatPr defaultRowHeight="14.25" x14ac:dyDescent="0.45"/>
  <cols>
    <col min="6" max="6" width="22.39843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1.5920000000000001</v>
      </c>
      <c r="H2" t="s">
        <v>14</v>
      </c>
    </row>
    <row r="3" spans="1:8" x14ac:dyDescent="0.4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>
        <v>-0.155</v>
      </c>
      <c r="H3" t="s">
        <v>16</v>
      </c>
    </row>
    <row r="4" spans="1:8" x14ac:dyDescent="0.4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>
        <v>-1.2E-2</v>
      </c>
      <c r="H4" t="s">
        <v>18</v>
      </c>
    </row>
    <row r="5" spans="1:8" x14ac:dyDescent="0.4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>
        <v>-7.0000000000000001E-3</v>
      </c>
      <c r="H5" t="s">
        <v>20</v>
      </c>
    </row>
    <row r="6" spans="1:8" x14ac:dyDescent="0.45">
      <c r="A6" t="s">
        <v>8</v>
      </c>
      <c r="B6" t="s">
        <v>9</v>
      </c>
      <c r="C6" t="s">
        <v>10</v>
      </c>
      <c r="D6" t="s">
        <v>11</v>
      </c>
      <c r="E6" t="s">
        <v>21</v>
      </c>
      <c r="F6" t="s">
        <v>13</v>
      </c>
      <c r="G6">
        <v>1.944</v>
      </c>
      <c r="H6" t="s">
        <v>14</v>
      </c>
    </row>
    <row r="7" spans="1:8" x14ac:dyDescent="0.45">
      <c r="A7" t="s">
        <v>8</v>
      </c>
      <c r="B7" t="s">
        <v>9</v>
      </c>
      <c r="C7" t="s">
        <v>10</v>
      </c>
      <c r="D7" t="s">
        <v>11</v>
      </c>
      <c r="E7" t="s">
        <v>21</v>
      </c>
      <c r="F7" t="s">
        <v>22</v>
      </c>
      <c r="G7">
        <v>-0.18099999999999999</v>
      </c>
      <c r="H7" t="s">
        <v>23</v>
      </c>
    </row>
    <row r="8" spans="1:8" x14ac:dyDescent="0.45">
      <c r="A8" t="s">
        <v>8</v>
      </c>
      <c r="B8" t="s">
        <v>9</v>
      </c>
      <c r="C8" t="s">
        <v>10</v>
      </c>
      <c r="D8" t="s">
        <v>11</v>
      </c>
      <c r="E8" t="s">
        <v>21</v>
      </c>
      <c r="F8" t="s">
        <v>24</v>
      </c>
      <c r="G8">
        <v>-4.1000000000000002E-2</v>
      </c>
      <c r="H8" t="s">
        <v>25</v>
      </c>
    </row>
    <row r="9" spans="1:8" x14ac:dyDescent="0.45">
      <c r="A9" t="s">
        <v>8</v>
      </c>
      <c r="B9" t="s">
        <v>26</v>
      </c>
      <c r="C9" t="s">
        <v>10</v>
      </c>
      <c r="D9" t="s">
        <v>27</v>
      </c>
      <c r="E9" t="s">
        <v>12</v>
      </c>
      <c r="F9" t="s">
        <v>13</v>
      </c>
      <c r="G9">
        <v>3.8719999999999999</v>
      </c>
      <c r="H9" t="s">
        <v>14</v>
      </c>
    </row>
    <row r="10" spans="1:8" x14ac:dyDescent="0.45">
      <c r="A10" t="s">
        <v>8</v>
      </c>
      <c r="B10" t="s">
        <v>26</v>
      </c>
      <c r="C10" t="s">
        <v>10</v>
      </c>
      <c r="D10" t="s">
        <v>27</v>
      </c>
      <c r="E10" t="s">
        <v>12</v>
      </c>
      <c r="F10" t="s">
        <v>28</v>
      </c>
      <c r="G10">
        <v>0.16200000000000001</v>
      </c>
      <c r="H10" t="s">
        <v>29</v>
      </c>
    </row>
    <row r="11" spans="1:8" x14ac:dyDescent="0.45">
      <c r="A11" t="s">
        <v>8</v>
      </c>
      <c r="B11" t="s">
        <v>26</v>
      </c>
      <c r="C11" t="s">
        <v>10</v>
      </c>
      <c r="D11" t="s">
        <v>27</v>
      </c>
      <c r="E11" t="s">
        <v>12</v>
      </c>
      <c r="F11" t="s">
        <v>17</v>
      </c>
      <c r="G11">
        <v>-0.13</v>
      </c>
      <c r="H11" t="s">
        <v>30</v>
      </c>
    </row>
    <row r="12" spans="1:8" x14ac:dyDescent="0.45">
      <c r="A12" t="s">
        <v>8</v>
      </c>
      <c r="B12" t="s">
        <v>26</v>
      </c>
      <c r="C12" t="s">
        <v>10</v>
      </c>
      <c r="D12" t="s">
        <v>27</v>
      </c>
      <c r="E12" t="s">
        <v>12</v>
      </c>
      <c r="F12" t="s">
        <v>31</v>
      </c>
      <c r="G12">
        <v>-0.02</v>
      </c>
      <c r="H12" t="s">
        <v>32</v>
      </c>
    </row>
    <row r="13" spans="1:8" x14ac:dyDescent="0.45">
      <c r="A13" t="s">
        <v>8</v>
      </c>
      <c r="B13" t="s">
        <v>26</v>
      </c>
      <c r="C13" t="s">
        <v>10</v>
      </c>
      <c r="D13" t="s">
        <v>27</v>
      </c>
      <c r="E13" t="s">
        <v>21</v>
      </c>
      <c r="F13" t="s">
        <v>13</v>
      </c>
      <c r="G13">
        <v>5.45</v>
      </c>
      <c r="H13" t="s">
        <v>14</v>
      </c>
    </row>
    <row r="14" spans="1:8" x14ac:dyDescent="0.45">
      <c r="A14" t="s">
        <v>8</v>
      </c>
      <c r="B14" t="s">
        <v>26</v>
      </c>
      <c r="C14" t="s">
        <v>10</v>
      </c>
      <c r="D14" t="s">
        <v>27</v>
      </c>
      <c r="E14" t="s">
        <v>21</v>
      </c>
      <c r="F14" t="s">
        <v>22</v>
      </c>
      <c r="G14">
        <v>-0.309</v>
      </c>
      <c r="H14" t="s">
        <v>33</v>
      </c>
    </row>
    <row r="15" spans="1:8" x14ac:dyDescent="0.45">
      <c r="A15" t="s">
        <v>8</v>
      </c>
      <c r="B15" t="s">
        <v>26</v>
      </c>
      <c r="C15" t="s">
        <v>34</v>
      </c>
      <c r="D15" t="s">
        <v>35</v>
      </c>
      <c r="E15" t="s">
        <v>12</v>
      </c>
      <c r="F15" t="s">
        <v>13</v>
      </c>
      <c r="G15">
        <v>3.8719999999999999</v>
      </c>
      <c r="H15" t="s">
        <v>14</v>
      </c>
    </row>
    <row r="16" spans="1:8" x14ac:dyDescent="0.45">
      <c r="A16" t="s">
        <v>8</v>
      </c>
      <c r="B16" t="s">
        <v>26</v>
      </c>
      <c r="C16" t="s">
        <v>34</v>
      </c>
      <c r="D16" t="s">
        <v>35</v>
      </c>
      <c r="E16" t="s">
        <v>12</v>
      </c>
      <c r="F16" t="s">
        <v>28</v>
      </c>
      <c r="G16">
        <v>0.16200000000000001</v>
      </c>
      <c r="H16" t="s">
        <v>29</v>
      </c>
    </row>
    <row r="17" spans="1:8" x14ac:dyDescent="0.45">
      <c r="A17" t="s">
        <v>8</v>
      </c>
      <c r="B17" t="s">
        <v>26</v>
      </c>
      <c r="C17" t="s">
        <v>34</v>
      </c>
      <c r="D17" t="s">
        <v>35</v>
      </c>
      <c r="E17" t="s">
        <v>12</v>
      </c>
      <c r="F17" t="s">
        <v>17</v>
      </c>
      <c r="G17">
        <v>-0.13</v>
      </c>
      <c r="H17" t="s">
        <v>30</v>
      </c>
    </row>
    <row r="18" spans="1:8" x14ac:dyDescent="0.45">
      <c r="A18" t="s">
        <v>8</v>
      </c>
      <c r="B18" t="s">
        <v>26</v>
      </c>
      <c r="C18" t="s">
        <v>34</v>
      </c>
      <c r="D18" t="s">
        <v>35</v>
      </c>
      <c r="E18" t="s">
        <v>12</v>
      </c>
      <c r="F18" t="s">
        <v>31</v>
      </c>
      <c r="G18">
        <v>-0.02</v>
      </c>
      <c r="H18" t="s">
        <v>32</v>
      </c>
    </row>
    <row r="19" spans="1:8" x14ac:dyDescent="0.45">
      <c r="A19" t="s">
        <v>8</v>
      </c>
      <c r="B19" t="s">
        <v>26</v>
      </c>
      <c r="C19" t="s">
        <v>34</v>
      </c>
      <c r="D19" t="s">
        <v>35</v>
      </c>
      <c r="E19" t="s">
        <v>21</v>
      </c>
      <c r="F19" t="s">
        <v>13</v>
      </c>
      <c r="G19">
        <v>5.4420000000000002</v>
      </c>
      <c r="H19" t="s">
        <v>14</v>
      </c>
    </row>
    <row r="20" spans="1:8" x14ac:dyDescent="0.45">
      <c r="A20" t="s">
        <v>8</v>
      </c>
      <c r="B20" t="s">
        <v>26</v>
      </c>
      <c r="C20" t="s">
        <v>34</v>
      </c>
      <c r="D20" t="s">
        <v>35</v>
      </c>
      <c r="E20" t="s">
        <v>21</v>
      </c>
      <c r="F20" t="s">
        <v>22</v>
      </c>
      <c r="G20">
        <v>-0.314</v>
      </c>
      <c r="H20" t="s">
        <v>33</v>
      </c>
    </row>
    <row r="21" spans="1:8" x14ac:dyDescent="0.45">
      <c r="A21" t="s">
        <v>8</v>
      </c>
      <c r="B21" t="s">
        <v>26</v>
      </c>
      <c r="C21" t="s">
        <v>34</v>
      </c>
      <c r="D21" t="s">
        <v>35</v>
      </c>
      <c r="E21" t="s">
        <v>21</v>
      </c>
      <c r="F21" t="s">
        <v>36</v>
      </c>
      <c r="G21">
        <v>0.13900000000000001</v>
      </c>
      <c r="H21" t="s">
        <v>37</v>
      </c>
    </row>
    <row r="22" spans="1:8" x14ac:dyDescent="0.45">
      <c r="A22" t="s">
        <v>8</v>
      </c>
      <c r="B22" t="s">
        <v>26</v>
      </c>
      <c r="C22" t="s">
        <v>34</v>
      </c>
      <c r="D22" t="s">
        <v>35</v>
      </c>
      <c r="E22" t="s">
        <v>21</v>
      </c>
      <c r="F22" t="s">
        <v>24</v>
      </c>
      <c r="G22">
        <v>-6.2E-2</v>
      </c>
      <c r="H22" t="s">
        <v>25</v>
      </c>
    </row>
    <row r="23" spans="1:8" x14ac:dyDescent="0.45">
      <c r="A23" t="s">
        <v>8</v>
      </c>
      <c r="B23" t="s">
        <v>26</v>
      </c>
      <c r="C23" t="s">
        <v>34</v>
      </c>
      <c r="D23" t="s">
        <v>35</v>
      </c>
      <c r="E23" t="s">
        <v>21</v>
      </c>
      <c r="F23" t="s">
        <v>19</v>
      </c>
      <c r="G23">
        <v>-1.2E-2</v>
      </c>
      <c r="H23" t="s">
        <v>38</v>
      </c>
    </row>
  </sheetData>
  <autoFilter ref="A1:H23" xr:uid="{0728E49D-A540-4089-813C-581604C949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1AA3-1D5A-41D2-A58D-F2AB9231359C}">
  <dimension ref="A1:J19"/>
  <sheetViews>
    <sheetView workbookViewId="0"/>
  </sheetViews>
  <sheetFormatPr defaultRowHeight="14.25" x14ac:dyDescent="0.45"/>
  <cols>
    <col min="4" max="4" width="34.796875" customWidth="1"/>
    <col min="6" max="6" width="17.5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</v>
      </c>
      <c r="I1" t="s">
        <v>42</v>
      </c>
      <c r="J1" t="s">
        <v>7</v>
      </c>
    </row>
    <row r="2" spans="1:10" x14ac:dyDescent="0.45">
      <c r="A2" t="s">
        <v>47</v>
      </c>
      <c r="B2" t="s">
        <v>9</v>
      </c>
      <c r="C2" t="s">
        <v>10</v>
      </c>
      <c r="D2" t="s">
        <v>39</v>
      </c>
      <c r="E2" t="s">
        <v>12</v>
      </c>
      <c r="F2" t="s">
        <v>15</v>
      </c>
      <c r="G2">
        <v>-0.40300000000000002</v>
      </c>
      <c r="I2">
        <v>21.24</v>
      </c>
    </row>
    <row r="3" spans="1:10" x14ac:dyDescent="0.45">
      <c r="A3" t="s">
        <v>47</v>
      </c>
      <c r="B3" t="s">
        <v>9</v>
      </c>
      <c r="C3" t="s">
        <v>10</v>
      </c>
      <c r="D3" t="s">
        <v>39</v>
      </c>
      <c r="E3" t="s">
        <v>12</v>
      </c>
      <c r="F3" t="s">
        <v>28</v>
      </c>
      <c r="G3">
        <v>0.30599999999999999</v>
      </c>
      <c r="I3">
        <v>23.13</v>
      </c>
    </row>
    <row r="4" spans="1:10" x14ac:dyDescent="0.45">
      <c r="A4" t="s">
        <v>47</v>
      </c>
      <c r="B4" t="s">
        <v>9</v>
      </c>
      <c r="C4" t="s">
        <v>10</v>
      </c>
      <c r="D4" t="s">
        <v>39</v>
      </c>
      <c r="E4" t="s">
        <v>12</v>
      </c>
      <c r="F4" t="s">
        <v>22</v>
      </c>
      <c r="G4">
        <v>0.13600000000000001</v>
      </c>
      <c r="I4">
        <v>26.46</v>
      </c>
    </row>
    <row r="5" spans="1:10" x14ac:dyDescent="0.45">
      <c r="A5" t="s">
        <v>47</v>
      </c>
      <c r="B5" t="s">
        <v>9</v>
      </c>
      <c r="C5" t="s">
        <v>10</v>
      </c>
      <c r="D5" t="s">
        <v>39</v>
      </c>
      <c r="E5" t="s">
        <v>21</v>
      </c>
      <c r="F5" t="s">
        <v>43</v>
      </c>
      <c r="G5">
        <v>6.9000000000000006E-2</v>
      </c>
      <c r="I5">
        <v>28.91</v>
      </c>
    </row>
    <row r="6" spans="1:10" x14ac:dyDescent="0.45">
      <c r="A6" t="s">
        <v>47</v>
      </c>
      <c r="B6" t="s">
        <v>9</v>
      </c>
      <c r="C6" t="s">
        <v>10</v>
      </c>
      <c r="D6" t="s">
        <v>39</v>
      </c>
      <c r="E6" t="s">
        <v>21</v>
      </c>
      <c r="F6" t="s">
        <v>24</v>
      </c>
      <c r="G6">
        <v>-5.7000000000000002E-2</v>
      </c>
      <c r="I6">
        <v>29.17</v>
      </c>
    </row>
    <row r="7" spans="1:10" x14ac:dyDescent="0.45">
      <c r="A7" t="s">
        <v>47</v>
      </c>
      <c r="B7" t="s">
        <v>9</v>
      </c>
      <c r="C7" t="s">
        <v>10</v>
      </c>
      <c r="D7" t="s">
        <v>39</v>
      </c>
      <c r="E7" t="s">
        <v>21</v>
      </c>
      <c r="F7" t="s">
        <v>15</v>
      </c>
      <c r="G7">
        <v>-3.9E-2</v>
      </c>
      <c r="I7">
        <v>29.61</v>
      </c>
    </row>
    <row r="8" spans="1:10" x14ac:dyDescent="0.45">
      <c r="A8" t="s">
        <v>47</v>
      </c>
      <c r="B8" t="s">
        <v>26</v>
      </c>
      <c r="C8" t="s">
        <v>10</v>
      </c>
      <c r="D8" t="s">
        <v>40</v>
      </c>
      <c r="E8" t="s">
        <v>12</v>
      </c>
      <c r="F8" t="s">
        <v>28</v>
      </c>
      <c r="G8">
        <v>0.20599999999999999</v>
      </c>
      <c r="I8">
        <v>40.369999999999997</v>
      </c>
    </row>
    <row r="9" spans="1:10" x14ac:dyDescent="0.45">
      <c r="A9" t="s">
        <v>47</v>
      </c>
      <c r="B9" t="s">
        <v>26</v>
      </c>
      <c r="C9" t="s">
        <v>10</v>
      </c>
      <c r="D9" t="s">
        <v>40</v>
      </c>
      <c r="E9" t="s">
        <v>12</v>
      </c>
      <c r="F9" t="s">
        <v>17</v>
      </c>
      <c r="G9">
        <v>-0.13600000000000001</v>
      </c>
      <c r="I9">
        <v>41.55</v>
      </c>
    </row>
    <row r="10" spans="1:10" x14ac:dyDescent="0.45">
      <c r="A10" t="s">
        <v>47</v>
      </c>
      <c r="B10" t="s">
        <v>26</v>
      </c>
      <c r="C10" t="s">
        <v>10</v>
      </c>
      <c r="D10" t="s">
        <v>40</v>
      </c>
      <c r="E10" t="s">
        <v>12</v>
      </c>
      <c r="F10" t="s">
        <v>44</v>
      </c>
      <c r="G10">
        <v>0.08</v>
      </c>
      <c r="I10">
        <v>41.74</v>
      </c>
    </row>
    <row r="11" spans="1:10" x14ac:dyDescent="0.45">
      <c r="A11" t="s">
        <v>47</v>
      </c>
      <c r="B11" t="s">
        <v>26</v>
      </c>
      <c r="C11" t="s">
        <v>10</v>
      </c>
      <c r="D11" t="s">
        <v>40</v>
      </c>
      <c r="E11" t="s">
        <v>21</v>
      </c>
      <c r="F11" t="s">
        <v>22</v>
      </c>
      <c r="G11">
        <v>-0.13500000000000001</v>
      </c>
      <c r="I11">
        <v>32.65</v>
      </c>
    </row>
    <row r="12" spans="1:10" x14ac:dyDescent="0.45">
      <c r="A12" t="s">
        <v>47</v>
      </c>
      <c r="B12" t="s">
        <v>26</v>
      </c>
      <c r="C12" t="s">
        <v>10</v>
      </c>
      <c r="D12" t="s">
        <v>40</v>
      </c>
      <c r="E12" t="s">
        <v>21</v>
      </c>
      <c r="F12" t="s">
        <v>24</v>
      </c>
      <c r="G12">
        <v>-0.106</v>
      </c>
      <c r="I12">
        <v>33.11</v>
      </c>
    </row>
    <row r="13" spans="1:10" x14ac:dyDescent="0.45">
      <c r="A13" t="s">
        <v>47</v>
      </c>
      <c r="B13" t="s">
        <v>26</v>
      </c>
      <c r="C13" t="s">
        <v>10</v>
      </c>
      <c r="D13" t="s">
        <v>40</v>
      </c>
      <c r="E13" t="s">
        <v>21</v>
      </c>
      <c r="F13" t="s">
        <v>45</v>
      </c>
      <c r="G13">
        <v>8.8999999999999996E-2</v>
      </c>
      <c r="I13">
        <v>34.36</v>
      </c>
    </row>
    <row r="14" spans="1:10" x14ac:dyDescent="0.45">
      <c r="A14" t="s">
        <v>47</v>
      </c>
      <c r="B14" t="s">
        <v>26</v>
      </c>
      <c r="C14" t="s">
        <v>34</v>
      </c>
      <c r="D14" t="s">
        <v>41</v>
      </c>
      <c r="E14" t="s">
        <v>12</v>
      </c>
      <c r="F14" t="s">
        <v>28</v>
      </c>
      <c r="G14">
        <v>0.55000000000000004</v>
      </c>
      <c r="H14">
        <v>0.374</v>
      </c>
      <c r="I14">
        <v>32.11</v>
      </c>
    </row>
    <row r="15" spans="1:10" x14ac:dyDescent="0.45">
      <c r="A15" t="s">
        <v>47</v>
      </c>
      <c r="B15" t="s">
        <v>26</v>
      </c>
      <c r="C15" t="s">
        <v>34</v>
      </c>
      <c r="D15" t="s">
        <v>41</v>
      </c>
      <c r="E15" t="s">
        <v>12</v>
      </c>
      <c r="F15" t="s">
        <v>15</v>
      </c>
      <c r="G15">
        <v>-0.60499999999999998</v>
      </c>
      <c r="H15">
        <v>0.45200000000000001</v>
      </c>
      <c r="I15">
        <v>37.67</v>
      </c>
    </row>
    <row r="16" spans="1:10" x14ac:dyDescent="0.45">
      <c r="A16" t="s">
        <v>47</v>
      </c>
      <c r="B16" t="s">
        <v>26</v>
      </c>
      <c r="C16" t="s">
        <v>34</v>
      </c>
      <c r="D16" t="s">
        <v>41</v>
      </c>
      <c r="E16" t="s">
        <v>12</v>
      </c>
      <c r="F16" t="s">
        <v>43</v>
      </c>
      <c r="G16">
        <v>0.22900000000000001</v>
      </c>
      <c r="H16">
        <v>0.33800000000000002</v>
      </c>
      <c r="I16">
        <v>38.159999999999997</v>
      </c>
    </row>
    <row r="17" spans="1:9" x14ac:dyDescent="0.45">
      <c r="A17" t="s">
        <v>47</v>
      </c>
      <c r="B17" t="s">
        <v>26</v>
      </c>
      <c r="C17" t="s">
        <v>34</v>
      </c>
      <c r="D17" t="s">
        <v>41</v>
      </c>
      <c r="E17" t="s">
        <v>21</v>
      </c>
      <c r="F17" t="s">
        <v>24</v>
      </c>
      <c r="G17">
        <v>-0.11600000000000001</v>
      </c>
      <c r="H17">
        <v>5.7299999999999997E-2</v>
      </c>
      <c r="I17">
        <v>36.03</v>
      </c>
    </row>
    <row r="18" spans="1:9" x14ac:dyDescent="0.45">
      <c r="A18" t="s">
        <v>47</v>
      </c>
      <c r="B18" t="s">
        <v>26</v>
      </c>
      <c r="C18" t="s">
        <v>34</v>
      </c>
      <c r="D18" t="s">
        <v>41</v>
      </c>
      <c r="E18" t="s">
        <v>21</v>
      </c>
      <c r="F18" t="s">
        <v>22</v>
      </c>
      <c r="G18">
        <v>-0.13200000000000001</v>
      </c>
      <c r="H18">
        <v>2.0899999999999998E-2</v>
      </c>
      <c r="I18">
        <v>36.06</v>
      </c>
    </row>
    <row r="19" spans="1:9" x14ac:dyDescent="0.45">
      <c r="A19" t="s">
        <v>47</v>
      </c>
      <c r="B19" t="s">
        <v>26</v>
      </c>
      <c r="C19" t="s">
        <v>34</v>
      </c>
      <c r="D19" t="s">
        <v>41</v>
      </c>
      <c r="E19" t="s">
        <v>21</v>
      </c>
      <c r="F19" t="s">
        <v>15</v>
      </c>
      <c r="G19">
        <v>-6.2E-2</v>
      </c>
      <c r="H19">
        <v>3.61E-2</v>
      </c>
      <c r="I19">
        <v>37.770000000000003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A5A6-FA51-474B-84BF-83CC571A9FE0}">
  <dimension ref="A1:G41"/>
  <sheetViews>
    <sheetView workbookViewId="0">
      <selection sqref="A1:G41"/>
    </sheetView>
  </sheetViews>
  <sheetFormatPr defaultRowHeight="14.25" x14ac:dyDescent="0.45"/>
  <cols>
    <col min="4" max="4" width="28.86328125" bestFit="1" customWidth="1"/>
    <col min="6" max="6" width="2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47</v>
      </c>
      <c r="B2" t="s">
        <v>9</v>
      </c>
      <c r="C2" t="s">
        <v>10</v>
      </c>
      <c r="D2" t="s">
        <v>39</v>
      </c>
      <c r="E2" t="s">
        <v>12</v>
      </c>
      <c r="F2" t="s">
        <v>15</v>
      </c>
      <c r="G2">
        <v>-0.40300000000000002</v>
      </c>
    </row>
    <row r="3" spans="1:7" x14ac:dyDescent="0.45">
      <c r="A3" t="s">
        <v>47</v>
      </c>
      <c r="B3" t="s">
        <v>9</v>
      </c>
      <c r="C3" t="s">
        <v>10</v>
      </c>
      <c r="D3" t="s">
        <v>39</v>
      </c>
      <c r="E3" t="s">
        <v>12</v>
      </c>
      <c r="F3" t="s">
        <v>28</v>
      </c>
      <c r="G3">
        <v>0.30599999999999999</v>
      </c>
    </row>
    <row r="4" spans="1:7" x14ac:dyDescent="0.45">
      <c r="A4" t="s">
        <v>47</v>
      </c>
      <c r="B4" t="s">
        <v>9</v>
      </c>
      <c r="C4" t="s">
        <v>10</v>
      </c>
      <c r="D4" t="s">
        <v>39</v>
      </c>
      <c r="E4" t="s">
        <v>12</v>
      </c>
      <c r="F4" t="s">
        <v>22</v>
      </c>
      <c r="G4">
        <v>0.13600000000000001</v>
      </c>
    </row>
    <row r="5" spans="1:7" x14ac:dyDescent="0.45">
      <c r="A5" t="s">
        <v>47</v>
      </c>
      <c r="B5" t="s">
        <v>9</v>
      </c>
      <c r="C5" t="s">
        <v>10</v>
      </c>
      <c r="D5" t="s">
        <v>39</v>
      </c>
      <c r="E5" t="s">
        <v>21</v>
      </c>
      <c r="F5" t="s">
        <v>43</v>
      </c>
      <c r="G5">
        <v>6.9000000000000006E-2</v>
      </c>
    </row>
    <row r="6" spans="1:7" x14ac:dyDescent="0.45">
      <c r="A6" t="s">
        <v>47</v>
      </c>
      <c r="B6" t="s">
        <v>9</v>
      </c>
      <c r="C6" t="s">
        <v>10</v>
      </c>
      <c r="D6" t="s">
        <v>39</v>
      </c>
      <c r="E6" t="s">
        <v>21</v>
      </c>
      <c r="F6" t="s">
        <v>24</v>
      </c>
      <c r="G6">
        <v>-5.7000000000000002E-2</v>
      </c>
    </row>
    <row r="7" spans="1:7" x14ac:dyDescent="0.45">
      <c r="A7" t="s">
        <v>47</v>
      </c>
      <c r="B7" t="s">
        <v>9</v>
      </c>
      <c r="C7" t="s">
        <v>10</v>
      </c>
      <c r="D7" t="s">
        <v>39</v>
      </c>
      <c r="E7" t="s">
        <v>21</v>
      </c>
      <c r="F7" t="s">
        <v>15</v>
      </c>
      <c r="G7">
        <v>-3.9E-2</v>
      </c>
    </row>
    <row r="8" spans="1:7" x14ac:dyDescent="0.45">
      <c r="A8" t="s">
        <v>47</v>
      </c>
      <c r="B8" t="s">
        <v>26</v>
      </c>
      <c r="C8" t="s">
        <v>10</v>
      </c>
      <c r="D8" t="s">
        <v>40</v>
      </c>
      <c r="E8" t="s">
        <v>12</v>
      </c>
      <c r="F8" t="s">
        <v>28</v>
      </c>
      <c r="G8">
        <v>0.20599999999999999</v>
      </c>
    </row>
    <row r="9" spans="1:7" x14ac:dyDescent="0.45">
      <c r="A9" t="s">
        <v>47</v>
      </c>
      <c r="B9" t="s">
        <v>26</v>
      </c>
      <c r="C9" t="s">
        <v>10</v>
      </c>
      <c r="D9" t="s">
        <v>40</v>
      </c>
      <c r="E9" t="s">
        <v>12</v>
      </c>
      <c r="F9" t="s">
        <v>17</v>
      </c>
      <c r="G9">
        <v>-0.13600000000000001</v>
      </c>
    </row>
    <row r="10" spans="1:7" x14ac:dyDescent="0.45">
      <c r="A10" t="s">
        <v>47</v>
      </c>
      <c r="B10" t="s">
        <v>26</v>
      </c>
      <c r="C10" t="s">
        <v>10</v>
      </c>
      <c r="D10" t="s">
        <v>40</v>
      </c>
      <c r="E10" t="s">
        <v>12</v>
      </c>
      <c r="F10" t="s">
        <v>44</v>
      </c>
      <c r="G10">
        <v>0.08</v>
      </c>
    </row>
    <row r="11" spans="1:7" x14ac:dyDescent="0.45">
      <c r="A11" t="s">
        <v>47</v>
      </c>
      <c r="B11" t="s">
        <v>26</v>
      </c>
      <c r="C11" t="s">
        <v>10</v>
      </c>
      <c r="D11" t="s">
        <v>40</v>
      </c>
      <c r="E11" t="s">
        <v>21</v>
      </c>
      <c r="F11" t="s">
        <v>22</v>
      </c>
      <c r="G11">
        <v>-0.13500000000000001</v>
      </c>
    </row>
    <row r="12" spans="1:7" x14ac:dyDescent="0.45">
      <c r="A12" t="s">
        <v>47</v>
      </c>
      <c r="B12" t="s">
        <v>26</v>
      </c>
      <c r="C12" t="s">
        <v>10</v>
      </c>
      <c r="D12" t="s">
        <v>40</v>
      </c>
      <c r="E12" t="s">
        <v>21</v>
      </c>
      <c r="F12" t="s">
        <v>24</v>
      </c>
      <c r="G12">
        <v>-0.106</v>
      </c>
    </row>
    <row r="13" spans="1:7" x14ac:dyDescent="0.45">
      <c r="A13" t="s">
        <v>47</v>
      </c>
      <c r="B13" t="s">
        <v>26</v>
      </c>
      <c r="C13" t="s">
        <v>10</v>
      </c>
      <c r="D13" t="s">
        <v>40</v>
      </c>
      <c r="E13" t="s">
        <v>21</v>
      </c>
      <c r="F13" t="s">
        <v>45</v>
      </c>
      <c r="G13">
        <v>8.8999999999999996E-2</v>
      </c>
    </row>
    <row r="14" spans="1:7" x14ac:dyDescent="0.45">
      <c r="A14" t="s">
        <v>47</v>
      </c>
      <c r="B14" t="s">
        <v>26</v>
      </c>
      <c r="C14" t="s">
        <v>34</v>
      </c>
      <c r="D14" t="s">
        <v>41</v>
      </c>
      <c r="E14" t="s">
        <v>12</v>
      </c>
      <c r="F14" t="s">
        <v>28</v>
      </c>
      <c r="G14">
        <v>0.55000000000000004</v>
      </c>
    </row>
    <row r="15" spans="1:7" x14ac:dyDescent="0.45">
      <c r="A15" t="s">
        <v>47</v>
      </c>
      <c r="B15" t="s">
        <v>26</v>
      </c>
      <c r="C15" t="s">
        <v>34</v>
      </c>
      <c r="D15" t="s">
        <v>41</v>
      </c>
      <c r="E15" t="s">
        <v>12</v>
      </c>
      <c r="F15" t="s">
        <v>15</v>
      </c>
      <c r="G15">
        <v>-0.60499999999999998</v>
      </c>
    </row>
    <row r="16" spans="1:7" x14ac:dyDescent="0.45">
      <c r="A16" t="s">
        <v>47</v>
      </c>
      <c r="B16" t="s">
        <v>26</v>
      </c>
      <c r="C16" t="s">
        <v>34</v>
      </c>
      <c r="D16" t="s">
        <v>41</v>
      </c>
      <c r="E16" t="s">
        <v>12</v>
      </c>
      <c r="F16" t="s">
        <v>43</v>
      </c>
      <c r="G16">
        <v>0.22900000000000001</v>
      </c>
    </row>
    <row r="17" spans="1:7" x14ac:dyDescent="0.45">
      <c r="A17" t="s">
        <v>47</v>
      </c>
      <c r="B17" t="s">
        <v>26</v>
      </c>
      <c r="C17" t="s">
        <v>34</v>
      </c>
      <c r="D17" t="s">
        <v>41</v>
      </c>
      <c r="E17" t="s">
        <v>21</v>
      </c>
      <c r="F17" t="s">
        <v>24</v>
      </c>
      <c r="G17">
        <v>-0.11600000000000001</v>
      </c>
    </row>
    <row r="18" spans="1:7" x14ac:dyDescent="0.45">
      <c r="A18" t="s">
        <v>47</v>
      </c>
      <c r="B18" t="s">
        <v>26</v>
      </c>
      <c r="C18" t="s">
        <v>34</v>
      </c>
      <c r="D18" t="s">
        <v>41</v>
      </c>
      <c r="E18" t="s">
        <v>21</v>
      </c>
      <c r="F18" t="s">
        <v>22</v>
      </c>
      <c r="G18">
        <v>-0.13200000000000001</v>
      </c>
    </row>
    <row r="19" spans="1:7" x14ac:dyDescent="0.45">
      <c r="A19" t="s">
        <v>47</v>
      </c>
      <c r="B19" t="s">
        <v>26</v>
      </c>
      <c r="C19" t="s">
        <v>34</v>
      </c>
      <c r="D19" t="s">
        <v>41</v>
      </c>
      <c r="E19" t="s">
        <v>21</v>
      </c>
      <c r="F19" t="s">
        <v>15</v>
      </c>
      <c r="G19">
        <v>-6.2E-2</v>
      </c>
    </row>
    <row r="20" spans="1:7" x14ac:dyDescent="0.4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>
        <v>1.5920000000000001</v>
      </c>
    </row>
    <row r="21" spans="1:7" x14ac:dyDescent="0.4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15</v>
      </c>
      <c r="G21">
        <v>-0.155</v>
      </c>
    </row>
    <row r="22" spans="1:7" x14ac:dyDescent="0.4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17</v>
      </c>
      <c r="G22">
        <v>-1.2E-2</v>
      </c>
    </row>
    <row r="23" spans="1:7" x14ac:dyDescent="0.4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19</v>
      </c>
      <c r="G23">
        <v>-7.0000000000000001E-3</v>
      </c>
    </row>
    <row r="24" spans="1:7" x14ac:dyDescent="0.45">
      <c r="A24" t="s">
        <v>8</v>
      </c>
      <c r="B24" t="s">
        <v>9</v>
      </c>
      <c r="C24" t="s">
        <v>10</v>
      </c>
      <c r="D24" t="s">
        <v>11</v>
      </c>
      <c r="E24" t="s">
        <v>21</v>
      </c>
      <c r="F24" t="s">
        <v>13</v>
      </c>
      <c r="G24">
        <v>1.944</v>
      </c>
    </row>
    <row r="25" spans="1:7" x14ac:dyDescent="0.45">
      <c r="A25" t="s">
        <v>8</v>
      </c>
      <c r="B25" t="s">
        <v>9</v>
      </c>
      <c r="C25" t="s">
        <v>10</v>
      </c>
      <c r="D25" t="s">
        <v>11</v>
      </c>
      <c r="E25" t="s">
        <v>21</v>
      </c>
      <c r="F25" t="s">
        <v>22</v>
      </c>
      <c r="G25">
        <v>-0.18099999999999999</v>
      </c>
    </row>
    <row r="26" spans="1:7" x14ac:dyDescent="0.45">
      <c r="A26" t="s">
        <v>8</v>
      </c>
      <c r="B26" t="s">
        <v>9</v>
      </c>
      <c r="C26" t="s">
        <v>10</v>
      </c>
      <c r="D26" t="s">
        <v>11</v>
      </c>
      <c r="E26" t="s">
        <v>21</v>
      </c>
      <c r="F26" t="s">
        <v>24</v>
      </c>
      <c r="G26">
        <v>-4.1000000000000002E-2</v>
      </c>
    </row>
    <row r="27" spans="1:7" x14ac:dyDescent="0.45">
      <c r="A27" t="s">
        <v>8</v>
      </c>
      <c r="B27" t="s">
        <v>26</v>
      </c>
      <c r="C27" t="s">
        <v>10</v>
      </c>
      <c r="D27" t="s">
        <v>27</v>
      </c>
      <c r="E27" t="s">
        <v>12</v>
      </c>
      <c r="F27" t="s">
        <v>13</v>
      </c>
      <c r="G27">
        <v>3.8719999999999999</v>
      </c>
    </row>
    <row r="28" spans="1:7" x14ac:dyDescent="0.45">
      <c r="A28" t="s">
        <v>8</v>
      </c>
      <c r="B28" t="s">
        <v>26</v>
      </c>
      <c r="C28" t="s">
        <v>10</v>
      </c>
      <c r="D28" t="s">
        <v>27</v>
      </c>
      <c r="E28" t="s">
        <v>12</v>
      </c>
      <c r="F28" t="s">
        <v>28</v>
      </c>
      <c r="G28">
        <v>0.16200000000000001</v>
      </c>
    </row>
    <row r="29" spans="1:7" x14ac:dyDescent="0.45">
      <c r="A29" t="s">
        <v>8</v>
      </c>
      <c r="B29" t="s">
        <v>26</v>
      </c>
      <c r="C29" t="s">
        <v>10</v>
      </c>
      <c r="D29" t="s">
        <v>27</v>
      </c>
      <c r="E29" t="s">
        <v>12</v>
      </c>
      <c r="F29" t="s">
        <v>17</v>
      </c>
      <c r="G29">
        <v>-0.13</v>
      </c>
    </row>
    <row r="30" spans="1:7" x14ac:dyDescent="0.45">
      <c r="A30" t="s">
        <v>8</v>
      </c>
      <c r="B30" t="s">
        <v>26</v>
      </c>
      <c r="C30" t="s">
        <v>10</v>
      </c>
      <c r="D30" t="s">
        <v>27</v>
      </c>
      <c r="E30" t="s">
        <v>12</v>
      </c>
      <c r="F30" t="s">
        <v>31</v>
      </c>
      <c r="G30">
        <v>-0.02</v>
      </c>
    </row>
    <row r="31" spans="1:7" x14ac:dyDescent="0.45">
      <c r="A31" t="s">
        <v>8</v>
      </c>
      <c r="B31" t="s">
        <v>26</v>
      </c>
      <c r="C31" t="s">
        <v>10</v>
      </c>
      <c r="D31" t="s">
        <v>27</v>
      </c>
      <c r="E31" t="s">
        <v>21</v>
      </c>
      <c r="F31" t="s">
        <v>13</v>
      </c>
      <c r="G31">
        <v>5.45</v>
      </c>
    </row>
    <row r="32" spans="1:7" x14ac:dyDescent="0.45">
      <c r="A32" t="s">
        <v>8</v>
      </c>
      <c r="B32" t="s">
        <v>26</v>
      </c>
      <c r="C32" t="s">
        <v>10</v>
      </c>
      <c r="D32" t="s">
        <v>27</v>
      </c>
      <c r="E32" t="s">
        <v>21</v>
      </c>
      <c r="F32" t="s">
        <v>22</v>
      </c>
      <c r="G32">
        <v>-0.309</v>
      </c>
    </row>
    <row r="33" spans="1:7" x14ac:dyDescent="0.45">
      <c r="A33" t="s">
        <v>8</v>
      </c>
      <c r="B33" t="s">
        <v>26</v>
      </c>
      <c r="C33" t="s">
        <v>34</v>
      </c>
      <c r="D33" t="s">
        <v>35</v>
      </c>
      <c r="E33" t="s">
        <v>12</v>
      </c>
      <c r="F33" t="s">
        <v>13</v>
      </c>
      <c r="G33">
        <v>3.8719999999999999</v>
      </c>
    </row>
    <row r="34" spans="1:7" x14ac:dyDescent="0.45">
      <c r="A34" t="s">
        <v>8</v>
      </c>
      <c r="B34" t="s">
        <v>26</v>
      </c>
      <c r="C34" t="s">
        <v>34</v>
      </c>
      <c r="D34" t="s">
        <v>35</v>
      </c>
      <c r="E34" t="s">
        <v>12</v>
      </c>
      <c r="F34" t="s">
        <v>28</v>
      </c>
      <c r="G34">
        <v>0.16200000000000001</v>
      </c>
    </row>
    <row r="35" spans="1:7" x14ac:dyDescent="0.45">
      <c r="A35" t="s">
        <v>8</v>
      </c>
      <c r="B35" t="s">
        <v>26</v>
      </c>
      <c r="C35" t="s">
        <v>34</v>
      </c>
      <c r="D35" t="s">
        <v>35</v>
      </c>
      <c r="E35" t="s">
        <v>12</v>
      </c>
      <c r="F35" t="s">
        <v>17</v>
      </c>
      <c r="G35">
        <v>-0.13</v>
      </c>
    </row>
    <row r="36" spans="1:7" x14ac:dyDescent="0.45">
      <c r="A36" t="s">
        <v>8</v>
      </c>
      <c r="B36" t="s">
        <v>26</v>
      </c>
      <c r="C36" t="s">
        <v>34</v>
      </c>
      <c r="D36" t="s">
        <v>35</v>
      </c>
      <c r="E36" t="s">
        <v>12</v>
      </c>
      <c r="F36" t="s">
        <v>31</v>
      </c>
      <c r="G36">
        <v>-0.02</v>
      </c>
    </row>
    <row r="37" spans="1:7" x14ac:dyDescent="0.45">
      <c r="A37" t="s">
        <v>8</v>
      </c>
      <c r="B37" t="s">
        <v>26</v>
      </c>
      <c r="C37" t="s">
        <v>34</v>
      </c>
      <c r="D37" t="s">
        <v>35</v>
      </c>
      <c r="E37" t="s">
        <v>21</v>
      </c>
      <c r="F37" t="s">
        <v>13</v>
      </c>
      <c r="G37">
        <v>5.4420000000000002</v>
      </c>
    </row>
    <row r="38" spans="1:7" x14ac:dyDescent="0.45">
      <c r="A38" t="s">
        <v>8</v>
      </c>
      <c r="B38" t="s">
        <v>26</v>
      </c>
      <c r="C38" t="s">
        <v>34</v>
      </c>
      <c r="D38" t="s">
        <v>35</v>
      </c>
      <c r="E38" t="s">
        <v>21</v>
      </c>
      <c r="F38" t="s">
        <v>22</v>
      </c>
      <c r="G38">
        <v>-0.314</v>
      </c>
    </row>
    <row r="39" spans="1:7" x14ac:dyDescent="0.45">
      <c r="A39" t="s">
        <v>8</v>
      </c>
      <c r="B39" t="s">
        <v>26</v>
      </c>
      <c r="C39" t="s">
        <v>34</v>
      </c>
      <c r="D39" t="s">
        <v>35</v>
      </c>
      <c r="E39" t="s">
        <v>21</v>
      </c>
      <c r="F39" t="s">
        <v>36</v>
      </c>
      <c r="G39">
        <v>0.13900000000000001</v>
      </c>
    </row>
    <row r="40" spans="1:7" x14ac:dyDescent="0.45">
      <c r="A40" t="s">
        <v>8</v>
      </c>
      <c r="B40" t="s">
        <v>26</v>
      </c>
      <c r="C40" t="s">
        <v>34</v>
      </c>
      <c r="D40" t="s">
        <v>35</v>
      </c>
      <c r="E40" t="s">
        <v>21</v>
      </c>
      <c r="F40" t="s">
        <v>24</v>
      </c>
      <c r="G40">
        <v>-6.2E-2</v>
      </c>
    </row>
    <row r="41" spans="1:7" x14ac:dyDescent="0.45">
      <c r="A41" t="s">
        <v>8</v>
      </c>
      <c r="B41" t="s">
        <v>26</v>
      </c>
      <c r="C41" t="s">
        <v>34</v>
      </c>
      <c r="D41" t="s">
        <v>35</v>
      </c>
      <c r="E41" t="s">
        <v>21</v>
      </c>
      <c r="F41" t="s">
        <v>19</v>
      </c>
      <c r="G41">
        <v>-1.2E-2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BC9B-60E4-4A09-B308-AF9185CE2477}">
  <dimension ref="A3:P18"/>
  <sheetViews>
    <sheetView topLeftCell="J1" workbookViewId="0">
      <selection activeCell="A3" sqref="A3:P18"/>
    </sheetView>
  </sheetViews>
  <sheetFormatPr defaultRowHeight="14.25" x14ac:dyDescent="0.45"/>
  <cols>
    <col min="1" max="1" width="22.3984375" bestFit="1" customWidth="1"/>
    <col min="2" max="3" width="16.265625" bestFit="1" customWidth="1"/>
    <col min="4" max="4" width="28.6640625" bestFit="1" customWidth="1"/>
    <col min="5" max="6" width="17" bestFit="1" customWidth="1"/>
    <col min="7" max="7" width="29.3984375" bestFit="1" customWidth="1"/>
    <col min="8" max="8" width="11.33203125" bestFit="1" customWidth="1"/>
    <col min="9" max="10" width="16.265625" bestFit="1" customWidth="1"/>
    <col min="11" max="11" width="28.6640625" bestFit="1" customWidth="1"/>
    <col min="12" max="13" width="17" bestFit="1" customWidth="1"/>
    <col min="14" max="14" width="29.3984375" bestFit="1" customWidth="1"/>
    <col min="15" max="15" width="8.9296875" bestFit="1" customWidth="1"/>
    <col min="16" max="16" width="9.86328125" bestFit="1" customWidth="1"/>
    <col min="17" max="17" width="31" bestFit="1" customWidth="1"/>
    <col min="18" max="18" width="6.33203125" bestFit="1" customWidth="1"/>
    <col min="19" max="19" width="33.73046875" bestFit="1" customWidth="1"/>
    <col min="20" max="20" width="9.86328125" bestFit="1" customWidth="1"/>
  </cols>
  <sheetData>
    <row r="3" spans="1:16" x14ac:dyDescent="0.45">
      <c r="A3" s="1" t="s">
        <v>51</v>
      </c>
      <c r="B3" s="1" t="s">
        <v>50</v>
      </c>
    </row>
    <row r="4" spans="1:16" x14ac:dyDescent="0.45">
      <c r="B4" t="s">
        <v>21</v>
      </c>
      <c r="H4" t="s">
        <v>52</v>
      </c>
      <c r="I4" t="s">
        <v>12</v>
      </c>
      <c r="O4" t="s">
        <v>53</v>
      </c>
      <c r="P4" t="s">
        <v>49</v>
      </c>
    </row>
    <row r="5" spans="1:16" x14ac:dyDescent="0.45">
      <c r="A5" s="1" t="s">
        <v>48</v>
      </c>
      <c r="B5" t="s">
        <v>11</v>
      </c>
      <c r="C5" t="s">
        <v>27</v>
      </c>
      <c r="D5" t="s">
        <v>35</v>
      </c>
      <c r="E5" t="s">
        <v>39</v>
      </c>
      <c r="F5" t="s">
        <v>40</v>
      </c>
      <c r="G5" t="s">
        <v>41</v>
      </c>
      <c r="I5" t="s">
        <v>11</v>
      </c>
      <c r="J5" t="s">
        <v>27</v>
      </c>
      <c r="K5" t="s">
        <v>35</v>
      </c>
      <c r="L5" t="s">
        <v>39</v>
      </c>
      <c r="M5" t="s">
        <v>40</v>
      </c>
      <c r="N5" t="s">
        <v>41</v>
      </c>
    </row>
    <row r="6" spans="1:16" x14ac:dyDescent="0.45">
      <c r="A6" s="2" t="s">
        <v>36</v>
      </c>
      <c r="D6">
        <v>0.13900000000000001</v>
      </c>
      <c r="H6">
        <v>0.13900000000000001</v>
      </c>
      <c r="P6">
        <v>0.13900000000000001</v>
      </c>
    </row>
    <row r="7" spans="1:16" x14ac:dyDescent="0.45">
      <c r="A7" s="2" t="s">
        <v>45</v>
      </c>
      <c r="F7">
        <v>8.8999999999999996E-2</v>
      </c>
      <c r="H7">
        <v>8.8999999999999996E-2</v>
      </c>
      <c r="P7">
        <v>8.8999999999999996E-2</v>
      </c>
    </row>
    <row r="8" spans="1:16" x14ac:dyDescent="0.45">
      <c r="A8" s="2" t="s">
        <v>43</v>
      </c>
      <c r="E8">
        <v>6.9000000000000006E-2</v>
      </c>
      <c r="H8">
        <v>6.9000000000000006E-2</v>
      </c>
      <c r="N8">
        <v>0.22900000000000001</v>
      </c>
      <c r="O8">
        <v>0.22900000000000001</v>
      </c>
      <c r="P8">
        <v>0.29800000000000004</v>
      </c>
    </row>
    <row r="9" spans="1:16" x14ac:dyDescent="0.45">
      <c r="A9" s="2" t="s">
        <v>28</v>
      </c>
      <c r="J9">
        <v>0.16200000000000001</v>
      </c>
      <c r="K9">
        <v>0.16200000000000001</v>
      </c>
      <c r="L9">
        <v>0.30599999999999999</v>
      </c>
      <c r="M9">
        <v>0.20599999999999999</v>
      </c>
      <c r="N9">
        <v>0.55000000000000004</v>
      </c>
      <c r="O9">
        <v>1.3860000000000001</v>
      </c>
      <c r="P9">
        <v>1.3860000000000001</v>
      </c>
    </row>
    <row r="10" spans="1:16" x14ac:dyDescent="0.45">
      <c r="A10" s="2" t="s">
        <v>15</v>
      </c>
      <c r="E10">
        <v>-3.9E-2</v>
      </c>
      <c r="G10">
        <v>-6.2E-2</v>
      </c>
      <c r="H10">
        <v>-0.10100000000000001</v>
      </c>
      <c r="I10">
        <v>-0.155</v>
      </c>
      <c r="L10">
        <v>-0.40300000000000002</v>
      </c>
      <c r="N10">
        <v>-0.60499999999999998</v>
      </c>
      <c r="O10">
        <v>-1.163</v>
      </c>
      <c r="P10">
        <v>-1.264</v>
      </c>
    </row>
    <row r="11" spans="1:16" x14ac:dyDescent="0.45">
      <c r="A11" s="2" t="s">
        <v>17</v>
      </c>
      <c r="I11">
        <v>-1.2E-2</v>
      </c>
      <c r="J11">
        <v>-0.13</v>
      </c>
      <c r="K11">
        <v>-0.13</v>
      </c>
      <c r="M11">
        <v>-0.13600000000000001</v>
      </c>
      <c r="O11">
        <v>-0.40800000000000003</v>
      </c>
      <c r="P11">
        <v>-0.40800000000000003</v>
      </c>
    </row>
    <row r="12" spans="1:16" x14ac:dyDescent="0.45">
      <c r="A12" s="2" t="s">
        <v>13</v>
      </c>
      <c r="B12">
        <v>1.944</v>
      </c>
      <c r="C12">
        <v>5.45</v>
      </c>
      <c r="D12">
        <v>5.4420000000000002</v>
      </c>
      <c r="H12">
        <v>12.836</v>
      </c>
      <c r="I12">
        <v>1.5920000000000001</v>
      </c>
      <c r="J12">
        <v>3.8719999999999999</v>
      </c>
      <c r="K12">
        <v>3.8719999999999999</v>
      </c>
      <c r="O12">
        <v>9.3360000000000003</v>
      </c>
      <c r="P12">
        <v>22.172000000000001</v>
      </c>
    </row>
    <row r="13" spans="1:16" x14ac:dyDescent="0.45">
      <c r="A13" s="2" t="s">
        <v>31</v>
      </c>
      <c r="J13">
        <v>-0.02</v>
      </c>
      <c r="K13">
        <v>-0.02</v>
      </c>
      <c r="O13">
        <v>-0.04</v>
      </c>
      <c r="P13">
        <v>-0.04</v>
      </c>
    </row>
    <row r="14" spans="1:16" x14ac:dyDescent="0.45">
      <c r="A14" s="2" t="s">
        <v>24</v>
      </c>
      <c r="B14">
        <v>-4.1000000000000002E-2</v>
      </c>
      <c r="D14">
        <v>-6.2E-2</v>
      </c>
      <c r="E14">
        <v>-5.7000000000000002E-2</v>
      </c>
      <c r="F14">
        <v>-0.106</v>
      </c>
      <c r="G14">
        <v>-0.11600000000000001</v>
      </c>
      <c r="H14">
        <v>-0.38200000000000001</v>
      </c>
      <c r="P14">
        <v>-0.38200000000000001</v>
      </c>
    </row>
    <row r="15" spans="1:16" x14ac:dyDescent="0.45">
      <c r="A15" s="2" t="s">
        <v>22</v>
      </c>
      <c r="B15">
        <v>-0.18099999999999999</v>
      </c>
      <c r="C15">
        <v>-0.309</v>
      </c>
      <c r="D15">
        <v>-0.314</v>
      </c>
      <c r="F15">
        <v>-0.13500000000000001</v>
      </c>
      <c r="G15">
        <v>-0.13200000000000001</v>
      </c>
      <c r="H15">
        <v>-1.0710000000000002</v>
      </c>
      <c r="L15">
        <v>0.13600000000000001</v>
      </c>
      <c r="O15">
        <v>0.13600000000000001</v>
      </c>
      <c r="P15">
        <v>-0.93500000000000016</v>
      </c>
    </row>
    <row r="16" spans="1:16" x14ac:dyDescent="0.45">
      <c r="A16" s="2" t="s">
        <v>19</v>
      </c>
      <c r="D16">
        <v>-1.2E-2</v>
      </c>
      <c r="H16">
        <v>-1.2E-2</v>
      </c>
      <c r="I16">
        <v>-7.0000000000000001E-3</v>
      </c>
      <c r="O16">
        <v>-7.0000000000000001E-3</v>
      </c>
      <c r="P16">
        <v>-1.9E-2</v>
      </c>
    </row>
    <row r="17" spans="1:16" x14ac:dyDescent="0.45">
      <c r="A17" s="2" t="s">
        <v>44</v>
      </c>
      <c r="M17">
        <v>0.08</v>
      </c>
      <c r="O17">
        <v>0.08</v>
      </c>
      <c r="P17">
        <v>0.08</v>
      </c>
    </row>
    <row r="18" spans="1:16" x14ac:dyDescent="0.45">
      <c r="A18" s="2" t="s">
        <v>49</v>
      </c>
      <c r="B18">
        <v>1.722</v>
      </c>
      <c r="C18">
        <v>5.141</v>
      </c>
      <c r="D18">
        <v>5.1930000000000005</v>
      </c>
      <c r="E18">
        <v>-2.6999999999999996E-2</v>
      </c>
      <c r="F18">
        <v>-0.15200000000000002</v>
      </c>
      <c r="G18">
        <v>-0.31</v>
      </c>
      <c r="H18">
        <v>11.567</v>
      </c>
      <c r="I18">
        <v>1.4180000000000001</v>
      </c>
      <c r="J18">
        <v>3.8839999999999999</v>
      </c>
      <c r="K18">
        <v>3.8839999999999999</v>
      </c>
      <c r="L18">
        <v>3.8999999999999979E-2</v>
      </c>
      <c r="M18">
        <v>0.14999999999999997</v>
      </c>
      <c r="N18">
        <v>0.17400000000000004</v>
      </c>
      <c r="O18">
        <v>9.5490000000000013</v>
      </c>
      <c r="P18">
        <v>21.116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58EC-1CD2-4717-BB7F-80D3280AF862}">
  <dimension ref="A1:H24"/>
  <sheetViews>
    <sheetView topLeftCell="A7" workbookViewId="0">
      <selection activeCell="J26" sqref="J26"/>
    </sheetView>
  </sheetViews>
  <sheetFormatPr defaultRowHeight="14.25" x14ac:dyDescent="0.45"/>
  <cols>
    <col min="1" max="1" width="22.3984375" bestFit="1" customWidth="1"/>
    <col min="2" max="7" width="3.53125" customWidth="1"/>
  </cols>
  <sheetData>
    <row r="1" spans="1:8" x14ac:dyDescent="0.45">
      <c r="B1" t="s">
        <v>21</v>
      </c>
    </row>
    <row r="2" spans="1:8" x14ac:dyDescent="0.45">
      <c r="A2" t="s">
        <v>5</v>
      </c>
      <c r="B2" t="s">
        <v>11</v>
      </c>
      <c r="C2" t="s">
        <v>27</v>
      </c>
      <c r="D2" t="s">
        <v>35</v>
      </c>
      <c r="E2" t="s">
        <v>39</v>
      </c>
      <c r="F2" t="s">
        <v>40</v>
      </c>
      <c r="G2" t="s">
        <v>41</v>
      </c>
      <c r="H2" t="s">
        <v>55</v>
      </c>
    </row>
    <row r="3" spans="1:8" x14ac:dyDescent="0.45">
      <c r="A3" t="s">
        <v>13</v>
      </c>
      <c r="B3">
        <v>1.944</v>
      </c>
      <c r="C3">
        <v>5.45</v>
      </c>
      <c r="D3">
        <v>5.4420000000000002</v>
      </c>
      <c r="E3">
        <v>0</v>
      </c>
      <c r="F3">
        <v>0</v>
      </c>
      <c r="G3">
        <v>0</v>
      </c>
      <c r="H3" s="4">
        <f t="shared" ref="H3:H10" si="0">AVERAGE(B3:G3)</f>
        <v>2.1393333333333335</v>
      </c>
    </row>
    <row r="4" spans="1:8" x14ac:dyDescent="0.45">
      <c r="A4" t="s">
        <v>36</v>
      </c>
      <c r="B4">
        <v>0</v>
      </c>
      <c r="C4">
        <v>0</v>
      </c>
      <c r="D4">
        <v>0.13900000000000001</v>
      </c>
      <c r="E4">
        <v>0</v>
      </c>
      <c r="F4">
        <v>0</v>
      </c>
      <c r="G4">
        <v>0</v>
      </c>
      <c r="H4" s="4">
        <f t="shared" si="0"/>
        <v>2.3166666666666669E-2</v>
      </c>
    </row>
    <row r="5" spans="1:8" x14ac:dyDescent="0.45">
      <c r="A5" t="s">
        <v>45</v>
      </c>
      <c r="B5">
        <v>0</v>
      </c>
      <c r="C5">
        <v>0</v>
      </c>
      <c r="D5">
        <v>0</v>
      </c>
      <c r="E5">
        <v>0</v>
      </c>
      <c r="F5">
        <v>8.8999999999999996E-2</v>
      </c>
      <c r="G5">
        <v>0</v>
      </c>
      <c r="H5" s="4">
        <f t="shared" si="0"/>
        <v>1.4833333333333332E-2</v>
      </c>
    </row>
    <row r="6" spans="1:8" x14ac:dyDescent="0.45">
      <c r="A6" t="s">
        <v>43</v>
      </c>
      <c r="B6">
        <v>0</v>
      </c>
      <c r="C6">
        <v>0</v>
      </c>
      <c r="D6">
        <v>0</v>
      </c>
      <c r="E6">
        <v>6.9000000000000006E-2</v>
      </c>
      <c r="F6">
        <v>0</v>
      </c>
      <c r="G6">
        <v>0</v>
      </c>
      <c r="H6" s="4">
        <f t="shared" si="0"/>
        <v>1.1500000000000002E-2</v>
      </c>
    </row>
    <row r="7" spans="1:8" x14ac:dyDescent="0.45">
      <c r="A7" t="s">
        <v>19</v>
      </c>
      <c r="B7">
        <v>0</v>
      </c>
      <c r="C7">
        <v>0</v>
      </c>
      <c r="D7">
        <v>-1.2E-2</v>
      </c>
      <c r="E7">
        <v>0</v>
      </c>
      <c r="F7">
        <v>0</v>
      </c>
      <c r="G7">
        <v>0</v>
      </c>
      <c r="H7" s="4">
        <f t="shared" si="0"/>
        <v>-2E-3</v>
      </c>
    </row>
    <row r="8" spans="1:8" x14ac:dyDescent="0.45">
      <c r="A8" t="s">
        <v>15</v>
      </c>
      <c r="B8">
        <v>0</v>
      </c>
      <c r="C8">
        <v>0</v>
      </c>
      <c r="D8">
        <v>0</v>
      </c>
      <c r="E8">
        <v>-3.9E-2</v>
      </c>
      <c r="F8">
        <v>0</v>
      </c>
      <c r="G8">
        <v>-6.2E-2</v>
      </c>
      <c r="H8" s="4">
        <f t="shared" si="0"/>
        <v>-1.6833333333333336E-2</v>
      </c>
    </row>
    <row r="9" spans="1:8" x14ac:dyDescent="0.45">
      <c r="A9" t="s">
        <v>24</v>
      </c>
      <c r="B9">
        <v>-4.1000000000000002E-2</v>
      </c>
      <c r="C9">
        <v>0</v>
      </c>
      <c r="D9">
        <v>-6.2E-2</v>
      </c>
      <c r="E9">
        <v>-5.7000000000000002E-2</v>
      </c>
      <c r="F9">
        <v>-0.106</v>
      </c>
      <c r="G9">
        <v>-0.11600000000000001</v>
      </c>
      <c r="H9" s="4">
        <f t="shared" si="0"/>
        <v>-6.3666666666666663E-2</v>
      </c>
    </row>
    <row r="10" spans="1:8" x14ac:dyDescent="0.45">
      <c r="A10" t="s">
        <v>22</v>
      </c>
      <c r="B10">
        <v>-0.18099999999999999</v>
      </c>
      <c r="C10">
        <v>-0.309</v>
      </c>
      <c r="D10">
        <v>-0.314</v>
      </c>
      <c r="E10">
        <v>0</v>
      </c>
      <c r="F10">
        <v>-0.13500000000000001</v>
      </c>
      <c r="G10">
        <v>-0.13200000000000001</v>
      </c>
      <c r="H10" s="4">
        <f t="shared" si="0"/>
        <v>-0.17850000000000002</v>
      </c>
    </row>
    <row r="14" spans="1:8" x14ac:dyDescent="0.45">
      <c r="B14" t="s">
        <v>12</v>
      </c>
    </row>
    <row r="15" spans="1:8" x14ac:dyDescent="0.45">
      <c r="A15" t="s">
        <v>5</v>
      </c>
      <c r="B15" t="s">
        <v>11</v>
      </c>
      <c r="C15" t="s">
        <v>27</v>
      </c>
      <c r="D15" t="s">
        <v>35</v>
      </c>
      <c r="E15" t="s">
        <v>39</v>
      </c>
      <c r="F15" t="s">
        <v>40</v>
      </c>
      <c r="G15" t="s">
        <v>41</v>
      </c>
      <c r="H15" t="s">
        <v>55</v>
      </c>
    </row>
    <row r="16" spans="1:8" x14ac:dyDescent="0.45">
      <c r="A16" t="s">
        <v>13</v>
      </c>
      <c r="B16">
        <v>1.5920000000000001</v>
      </c>
      <c r="C16">
        <v>3.8719999999999999</v>
      </c>
      <c r="D16">
        <v>3.8719999999999999</v>
      </c>
      <c r="E16">
        <v>0</v>
      </c>
      <c r="F16">
        <v>0</v>
      </c>
      <c r="G16">
        <v>0</v>
      </c>
      <c r="H16" s="4">
        <f t="shared" ref="H16:H24" si="1">AVERAGE(B16:G16)</f>
        <v>1.556</v>
      </c>
    </row>
    <row r="17" spans="1:8" x14ac:dyDescent="0.45">
      <c r="A17" t="s">
        <v>28</v>
      </c>
      <c r="B17">
        <v>0</v>
      </c>
      <c r="C17">
        <v>0.16200000000000001</v>
      </c>
      <c r="D17">
        <v>0.16200000000000001</v>
      </c>
      <c r="E17">
        <v>0.30599999999999999</v>
      </c>
      <c r="F17">
        <v>0.20599999999999999</v>
      </c>
      <c r="G17">
        <v>0.55000000000000004</v>
      </c>
      <c r="H17" s="4">
        <f t="shared" si="1"/>
        <v>0.23100000000000001</v>
      </c>
    </row>
    <row r="18" spans="1:8" x14ac:dyDescent="0.45">
      <c r="A18" t="s">
        <v>43</v>
      </c>
      <c r="B18">
        <v>0</v>
      </c>
      <c r="C18">
        <v>0</v>
      </c>
      <c r="D18">
        <v>0</v>
      </c>
      <c r="E18">
        <v>0</v>
      </c>
      <c r="F18">
        <v>0</v>
      </c>
      <c r="G18">
        <v>0.22900000000000001</v>
      </c>
      <c r="H18" s="4">
        <f t="shared" si="1"/>
        <v>3.8166666666666668E-2</v>
      </c>
    </row>
    <row r="19" spans="1:8" x14ac:dyDescent="0.45">
      <c r="A19" t="s">
        <v>22</v>
      </c>
      <c r="B19">
        <v>0</v>
      </c>
      <c r="C19">
        <v>0</v>
      </c>
      <c r="D19">
        <v>0</v>
      </c>
      <c r="E19">
        <v>0.13600000000000001</v>
      </c>
      <c r="F19">
        <v>0</v>
      </c>
      <c r="G19">
        <v>0</v>
      </c>
      <c r="H19" s="4">
        <f t="shared" si="1"/>
        <v>2.2666666666666668E-2</v>
      </c>
    </row>
    <row r="20" spans="1:8" x14ac:dyDescent="0.45">
      <c r="A20" t="s">
        <v>44</v>
      </c>
      <c r="B20">
        <v>0</v>
      </c>
      <c r="C20">
        <v>0</v>
      </c>
      <c r="D20">
        <v>0</v>
      </c>
      <c r="E20">
        <v>0</v>
      </c>
      <c r="F20">
        <v>0.08</v>
      </c>
      <c r="G20">
        <v>0</v>
      </c>
      <c r="H20" s="4">
        <f t="shared" si="1"/>
        <v>1.3333333333333334E-2</v>
      </c>
    </row>
    <row r="21" spans="1:8" x14ac:dyDescent="0.45">
      <c r="A21" t="s">
        <v>19</v>
      </c>
      <c r="B21">
        <v>-7.0000000000000001E-3</v>
      </c>
      <c r="C21">
        <v>0</v>
      </c>
      <c r="D21">
        <v>0</v>
      </c>
      <c r="E21">
        <v>0</v>
      </c>
      <c r="F21">
        <v>0</v>
      </c>
      <c r="G21">
        <v>0</v>
      </c>
      <c r="H21" s="4">
        <f t="shared" si="1"/>
        <v>-1.1666666666666668E-3</v>
      </c>
    </row>
    <row r="22" spans="1:8" x14ac:dyDescent="0.45">
      <c r="A22" t="s">
        <v>31</v>
      </c>
      <c r="B22">
        <v>0</v>
      </c>
      <c r="C22">
        <v>-0.02</v>
      </c>
      <c r="D22">
        <v>-0.02</v>
      </c>
      <c r="E22">
        <v>0</v>
      </c>
      <c r="F22">
        <v>0</v>
      </c>
      <c r="G22">
        <v>0</v>
      </c>
      <c r="H22" s="4">
        <f t="shared" si="1"/>
        <v>-6.6666666666666671E-3</v>
      </c>
    </row>
    <row r="23" spans="1:8" x14ac:dyDescent="0.45">
      <c r="A23" t="s">
        <v>17</v>
      </c>
      <c r="B23">
        <v>-1.2E-2</v>
      </c>
      <c r="C23">
        <v>-0.13</v>
      </c>
      <c r="D23">
        <v>-0.13</v>
      </c>
      <c r="E23">
        <v>0</v>
      </c>
      <c r="F23">
        <v>-0.13600000000000001</v>
      </c>
      <c r="G23">
        <v>0</v>
      </c>
      <c r="H23" s="4">
        <f t="shared" si="1"/>
        <v>-6.8000000000000005E-2</v>
      </c>
    </row>
    <row r="24" spans="1:8" x14ac:dyDescent="0.45">
      <c r="A24" t="s">
        <v>15</v>
      </c>
      <c r="B24">
        <v>-0.155</v>
      </c>
      <c r="C24">
        <v>0</v>
      </c>
      <c r="D24">
        <v>0</v>
      </c>
      <c r="E24">
        <v>-0.40300000000000002</v>
      </c>
      <c r="F24">
        <v>0</v>
      </c>
      <c r="G24">
        <v>-0.60499999999999998</v>
      </c>
      <c r="H24" s="4">
        <f t="shared" si="1"/>
        <v>-0.19383333333333333</v>
      </c>
    </row>
  </sheetData>
  <sortState xmlns:xlrd2="http://schemas.microsoft.com/office/spreadsheetml/2017/richdata2" ref="A16:H24">
    <sortCondition descending="1" ref="H16:H2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BF31-5AF2-40E4-8CE2-4D8CBD50D62D}">
  <dimension ref="A1:N15"/>
  <sheetViews>
    <sheetView tabSelected="1" topLeftCell="A3" workbookViewId="0">
      <selection activeCell="A3" sqref="A3:N15"/>
    </sheetView>
  </sheetViews>
  <sheetFormatPr defaultRowHeight="14.25" x14ac:dyDescent="0.45"/>
  <cols>
    <col min="1" max="1" width="22.3984375" bestFit="1" customWidth="1"/>
    <col min="2" max="13" width="6.6640625" customWidth="1"/>
  </cols>
  <sheetData>
    <row r="1" spans="1:14" x14ac:dyDescent="0.45">
      <c r="A1" t="s">
        <v>51</v>
      </c>
      <c r="B1" t="s">
        <v>50</v>
      </c>
    </row>
    <row r="2" spans="1:14" x14ac:dyDescent="0.45">
      <c r="B2" t="s">
        <v>21</v>
      </c>
      <c r="H2" t="s">
        <v>12</v>
      </c>
    </row>
    <row r="3" spans="1:14" ht="151.5" x14ac:dyDescent="0.45">
      <c r="A3" t="s">
        <v>48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68</v>
      </c>
    </row>
    <row r="4" spans="1:14" x14ac:dyDescent="0.45">
      <c r="A4" t="s">
        <v>13</v>
      </c>
      <c r="B4">
        <v>1.944</v>
      </c>
      <c r="C4">
        <v>5.45</v>
      </c>
      <c r="D4">
        <v>5.4420000000000002</v>
      </c>
      <c r="E4">
        <v>0</v>
      </c>
      <c r="F4">
        <v>0</v>
      </c>
      <c r="G4">
        <v>0</v>
      </c>
      <c r="H4">
        <v>1.5920000000000001</v>
      </c>
      <c r="I4">
        <v>3.8719999999999999</v>
      </c>
      <c r="J4">
        <v>3.8719999999999999</v>
      </c>
      <c r="K4">
        <v>0</v>
      </c>
      <c r="L4">
        <v>0</v>
      </c>
      <c r="M4">
        <v>0</v>
      </c>
      <c r="N4">
        <f>AVERAGE(B4:M4)</f>
        <v>1.8476666666666668</v>
      </c>
    </row>
    <row r="5" spans="1:14" x14ac:dyDescent="0.4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0.16200000000000001</v>
      </c>
      <c r="J5">
        <v>0.16200000000000001</v>
      </c>
      <c r="K5">
        <v>0.30599999999999999</v>
      </c>
      <c r="L5">
        <v>0.20599999999999999</v>
      </c>
      <c r="M5">
        <v>0.55000000000000004</v>
      </c>
      <c r="N5">
        <f>AVERAGE(B5:M5)</f>
        <v>0.11550000000000001</v>
      </c>
    </row>
    <row r="6" spans="1:14" x14ac:dyDescent="0.45">
      <c r="A6" t="s">
        <v>43</v>
      </c>
      <c r="B6">
        <v>0</v>
      </c>
      <c r="C6">
        <v>0</v>
      </c>
      <c r="D6">
        <v>0</v>
      </c>
      <c r="E6">
        <v>6.9000000000000006E-2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0.22900000000000001</v>
      </c>
      <c r="N6">
        <f>AVERAGE(B6:M6)</f>
        <v>2.4833333333333336E-2</v>
      </c>
    </row>
    <row r="7" spans="1:14" x14ac:dyDescent="0.45">
      <c r="A7" t="s">
        <v>36</v>
      </c>
      <c r="B7">
        <v>0</v>
      </c>
      <c r="C7">
        <v>0</v>
      </c>
      <c r="D7">
        <v>0.13900000000000001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>AVERAGE(B7:M7)</f>
        <v>1.1583333333333334E-2</v>
      </c>
    </row>
    <row r="8" spans="1:14" x14ac:dyDescent="0.45">
      <c r="A8" t="s">
        <v>45</v>
      </c>
      <c r="B8">
        <v>0</v>
      </c>
      <c r="C8">
        <v>0</v>
      </c>
      <c r="D8">
        <v>0</v>
      </c>
      <c r="E8">
        <v>0</v>
      </c>
      <c r="F8">
        <v>8.8999999999999996E-2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f>AVERAGE(B8:M8)</f>
        <v>7.416666666666666E-3</v>
      </c>
    </row>
    <row r="9" spans="1:14" x14ac:dyDescent="0.45">
      <c r="A9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</v>
      </c>
      <c r="M9">
        <v>0</v>
      </c>
      <c r="N9">
        <f>AVERAGE(B9:M9)</f>
        <v>6.6666666666666671E-3</v>
      </c>
    </row>
    <row r="10" spans="1:14" x14ac:dyDescent="0.45">
      <c r="A10" t="s">
        <v>19</v>
      </c>
      <c r="B10">
        <v>0</v>
      </c>
      <c r="C10">
        <v>0</v>
      </c>
      <c r="D10">
        <v>-1.2E-2</v>
      </c>
      <c r="E10">
        <v>0</v>
      </c>
      <c r="F10">
        <v>0</v>
      </c>
      <c r="G10">
        <v>0</v>
      </c>
      <c r="H10">
        <v>-7.0000000000000001E-3</v>
      </c>
      <c r="I10">
        <v>0</v>
      </c>
      <c r="J10">
        <v>0</v>
      </c>
      <c r="K10">
        <v>0</v>
      </c>
      <c r="L10">
        <v>0</v>
      </c>
      <c r="M10">
        <v>0</v>
      </c>
      <c r="N10">
        <f>AVERAGE(B10:M10)</f>
        <v>-1.5833333333333333E-3</v>
      </c>
    </row>
    <row r="11" spans="1:14" x14ac:dyDescent="0.4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-0.02</v>
      </c>
      <c r="J11">
        <v>-0.02</v>
      </c>
      <c r="K11">
        <v>0</v>
      </c>
      <c r="L11">
        <v>0</v>
      </c>
      <c r="M11">
        <v>0</v>
      </c>
      <c r="N11">
        <f>AVERAGE(B11:M11)</f>
        <v>-3.3333333333333335E-3</v>
      </c>
    </row>
    <row r="12" spans="1:14" x14ac:dyDescent="0.45">
      <c r="A12" t="s">
        <v>24</v>
      </c>
      <c r="B12">
        <v>-4.1000000000000002E-2</v>
      </c>
      <c r="C12">
        <v>0</v>
      </c>
      <c r="D12">
        <v>-6.2E-2</v>
      </c>
      <c r="E12">
        <v>-5.7000000000000002E-2</v>
      </c>
      <c r="F12">
        <v>-0.106</v>
      </c>
      <c r="G12">
        <v>-0.11600000000000001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>AVERAGE(B12:M12)</f>
        <v>-3.1833333333333332E-2</v>
      </c>
    </row>
    <row r="13" spans="1:14" x14ac:dyDescent="0.4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-1.2E-2</v>
      </c>
      <c r="I13">
        <v>-0.13</v>
      </c>
      <c r="J13">
        <v>-0.13</v>
      </c>
      <c r="K13">
        <v>0</v>
      </c>
      <c r="L13">
        <v>-0.13600000000000001</v>
      </c>
      <c r="M13">
        <v>0</v>
      </c>
      <c r="N13">
        <f>AVERAGE(B13:M13)</f>
        <v>-3.4000000000000002E-2</v>
      </c>
    </row>
    <row r="14" spans="1:14" x14ac:dyDescent="0.45">
      <c r="A14" t="s">
        <v>22</v>
      </c>
      <c r="B14">
        <v>-0.18099999999999999</v>
      </c>
      <c r="C14">
        <v>-0.309</v>
      </c>
      <c r="D14">
        <v>-0.314</v>
      </c>
      <c r="E14">
        <v>0</v>
      </c>
      <c r="F14">
        <v>-0.13500000000000001</v>
      </c>
      <c r="G14">
        <v>-0.13200000000000001</v>
      </c>
      <c r="H14">
        <v>0</v>
      </c>
      <c r="I14">
        <v>0</v>
      </c>
      <c r="J14">
        <v>0</v>
      </c>
      <c r="K14">
        <v>0.13600000000000001</v>
      </c>
      <c r="L14">
        <v>0</v>
      </c>
      <c r="M14">
        <v>0</v>
      </c>
      <c r="N14">
        <f>AVERAGE(B14:M14)</f>
        <v>-7.7916666666666676E-2</v>
      </c>
    </row>
    <row r="15" spans="1:14" x14ac:dyDescent="0.45">
      <c r="A15" t="s">
        <v>15</v>
      </c>
      <c r="B15">
        <v>0</v>
      </c>
      <c r="C15">
        <v>0</v>
      </c>
      <c r="D15">
        <v>0</v>
      </c>
      <c r="E15">
        <v>-3.9E-2</v>
      </c>
      <c r="F15">
        <v>0</v>
      </c>
      <c r="G15">
        <v>-6.2E-2</v>
      </c>
      <c r="H15">
        <v>-0.155</v>
      </c>
      <c r="I15">
        <v>0</v>
      </c>
      <c r="J15">
        <v>0</v>
      </c>
      <c r="K15">
        <v>-0.40300000000000002</v>
      </c>
      <c r="L15">
        <v>0</v>
      </c>
      <c r="M15">
        <v>-0.60499999999999998</v>
      </c>
      <c r="N15">
        <f>AVERAGE(B15:M15)</f>
        <v>-0.10533333333333333</v>
      </c>
    </row>
  </sheetData>
  <sortState xmlns:xlrd2="http://schemas.microsoft.com/office/spreadsheetml/2017/richdata2" ref="A4:N15">
    <sortCondition descending="1" ref="N4:N1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1AEE-A3AA-4D89-B484-018A127865A3}">
  <dimension ref="A3:P17"/>
  <sheetViews>
    <sheetView workbookViewId="0">
      <selection activeCell="B6" sqref="B6"/>
    </sheetView>
  </sheetViews>
  <sheetFormatPr defaultRowHeight="14.25" x14ac:dyDescent="0.45"/>
  <cols>
    <col min="1" max="1" width="22.3984375" bestFit="1" customWidth="1"/>
    <col min="2" max="3" width="16.265625" bestFit="1" customWidth="1"/>
    <col min="4" max="4" width="28.6640625" bestFit="1" customWidth="1"/>
    <col min="5" max="6" width="17" bestFit="1" customWidth="1"/>
    <col min="7" max="7" width="29.3984375" bestFit="1" customWidth="1"/>
    <col min="8" max="8" width="11.33203125" bestFit="1" customWidth="1"/>
    <col min="9" max="10" width="16.265625" bestFit="1" customWidth="1"/>
    <col min="11" max="11" width="28.6640625" bestFit="1" customWidth="1"/>
    <col min="12" max="13" width="17" bestFit="1" customWidth="1"/>
    <col min="14" max="14" width="29.3984375" bestFit="1" customWidth="1"/>
    <col min="15" max="15" width="8.9296875" bestFit="1" customWidth="1"/>
    <col min="16" max="16" width="9.86328125" bestFit="1" customWidth="1"/>
  </cols>
  <sheetData>
    <row r="3" spans="1:16" x14ac:dyDescent="0.45">
      <c r="A3" s="1" t="s">
        <v>51</v>
      </c>
      <c r="B3" s="1" t="s">
        <v>50</v>
      </c>
    </row>
    <row r="4" spans="1:16" x14ac:dyDescent="0.45">
      <c r="B4" t="s">
        <v>21</v>
      </c>
      <c r="H4" t="s">
        <v>52</v>
      </c>
      <c r="I4" t="s">
        <v>12</v>
      </c>
      <c r="O4" t="s">
        <v>53</v>
      </c>
      <c r="P4" t="s">
        <v>49</v>
      </c>
    </row>
    <row r="5" spans="1:16" x14ac:dyDescent="0.45">
      <c r="A5" s="1" t="s">
        <v>48</v>
      </c>
      <c r="B5" t="s">
        <v>11</v>
      </c>
      <c r="C5" t="s">
        <v>27</v>
      </c>
      <c r="D5" t="s">
        <v>35</v>
      </c>
      <c r="E5" t="s">
        <v>39</v>
      </c>
      <c r="F5" t="s">
        <v>40</v>
      </c>
      <c r="G5" t="s">
        <v>41</v>
      </c>
      <c r="I5" t="s">
        <v>11</v>
      </c>
      <c r="J5" t="s">
        <v>27</v>
      </c>
      <c r="K5" t="s">
        <v>35</v>
      </c>
      <c r="L5" t="s">
        <v>39</v>
      </c>
      <c r="M5" t="s">
        <v>40</v>
      </c>
      <c r="N5" t="s">
        <v>41</v>
      </c>
    </row>
    <row r="6" spans="1:16" x14ac:dyDescent="0.45">
      <c r="A6" s="2" t="s">
        <v>36</v>
      </c>
      <c r="D6">
        <v>0.13900000000000001</v>
      </c>
      <c r="H6">
        <v>0.13900000000000001</v>
      </c>
      <c r="P6">
        <v>0.13900000000000001</v>
      </c>
    </row>
    <row r="7" spans="1:16" x14ac:dyDescent="0.45">
      <c r="A7" s="2" t="s">
        <v>45</v>
      </c>
      <c r="F7">
        <v>8.8999999999999996E-2</v>
      </c>
      <c r="H7">
        <v>8.8999999999999996E-2</v>
      </c>
      <c r="P7">
        <v>8.8999999999999996E-2</v>
      </c>
    </row>
    <row r="8" spans="1:16" x14ac:dyDescent="0.45">
      <c r="A8" s="2" t="s">
        <v>43</v>
      </c>
      <c r="E8">
        <v>6.9000000000000006E-2</v>
      </c>
      <c r="H8">
        <v>6.9000000000000006E-2</v>
      </c>
      <c r="N8">
        <v>0.22900000000000001</v>
      </c>
      <c r="O8">
        <v>0.22900000000000001</v>
      </c>
      <c r="P8">
        <v>0.29800000000000004</v>
      </c>
    </row>
    <row r="9" spans="1:16" x14ac:dyDescent="0.45">
      <c r="A9" s="2" t="s">
        <v>28</v>
      </c>
      <c r="J9">
        <v>0.16200000000000001</v>
      </c>
      <c r="K9">
        <v>0.16200000000000001</v>
      </c>
      <c r="L9">
        <v>0.30599999999999999</v>
      </c>
      <c r="M9">
        <v>0.20599999999999999</v>
      </c>
      <c r="N9">
        <v>0.55000000000000004</v>
      </c>
      <c r="O9">
        <v>1.3860000000000001</v>
      </c>
      <c r="P9">
        <v>1.3860000000000001</v>
      </c>
    </row>
    <row r="10" spans="1:16" x14ac:dyDescent="0.45">
      <c r="A10" s="2" t="s">
        <v>15</v>
      </c>
      <c r="E10">
        <v>-3.9E-2</v>
      </c>
      <c r="G10">
        <v>-6.2E-2</v>
      </c>
      <c r="H10">
        <v>-0.10100000000000001</v>
      </c>
      <c r="I10">
        <v>-0.155</v>
      </c>
      <c r="L10">
        <v>-0.40300000000000002</v>
      </c>
      <c r="N10">
        <v>-0.60499999999999998</v>
      </c>
      <c r="O10">
        <v>-1.163</v>
      </c>
      <c r="P10">
        <v>-1.264</v>
      </c>
    </row>
    <row r="11" spans="1:16" x14ac:dyDescent="0.45">
      <c r="A11" s="2" t="s">
        <v>17</v>
      </c>
      <c r="I11">
        <v>-1.2E-2</v>
      </c>
      <c r="J11">
        <v>-0.13</v>
      </c>
      <c r="K11">
        <v>-0.13</v>
      </c>
      <c r="M11">
        <v>-0.13600000000000001</v>
      </c>
      <c r="O11">
        <v>-0.40800000000000003</v>
      </c>
      <c r="P11">
        <v>-0.40800000000000003</v>
      </c>
    </row>
    <row r="12" spans="1:16" x14ac:dyDescent="0.45">
      <c r="A12" s="2" t="s">
        <v>31</v>
      </c>
      <c r="J12">
        <v>-0.02</v>
      </c>
      <c r="K12">
        <v>-0.02</v>
      </c>
      <c r="O12">
        <v>-0.04</v>
      </c>
      <c r="P12">
        <v>-0.04</v>
      </c>
    </row>
    <row r="13" spans="1:16" x14ac:dyDescent="0.45">
      <c r="A13" s="2" t="s">
        <v>24</v>
      </c>
      <c r="B13">
        <v>-4.1000000000000002E-2</v>
      </c>
      <c r="D13">
        <v>-6.2E-2</v>
      </c>
      <c r="E13">
        <v>-5.7000000000000002E-2</v>
      </c>
      <c r="F13">
        <v>-0.106</v>
      </c>
      <c r="G13">
        <v>-0.11600000000000001</v>
      </c>
      <c r="H13">
        <v>-0.38200000000000001</v>
      </c>
      <c r="P13">
        <v>-0.38200000000000001</v>
      </c>
    </row>
    <row r="14" spans="1:16" x14ac:dyDescent="0.45">
      <c r="A14" s="2" t="s">
        <v>22</v>
      </c>
      <c r="B14">
        <v>-0.18099999999999999</v>
      </c>
      <c r="C14">
        <v>-0.309</v>
      </c>
      <c r="D14">
        <v>-0.314</v>
      </c>
      <c r="F14">
        <v>-0.13500000000000001</v>
      </c>
      <c r="G14">
        <v>-0.13200000000000001</v>
      </c>
      <c r="H14">
        <v>-1.0710000000000002</v>
      </c>
      <c r="L14">
        <v>0.13600000000000001</v>
      </c>
      <c r="O14">
        <v>0.13600000000000001</v>
      </c>
      <c r="P14">
        <v>-0.93500000000000016</v>
      </c>
    </row>
    <row r="15" spans="1:16" x14ac:dyDescent="0.45">
      <c r="A15" s="2" t="s">
        <v>19</v>
      </c>
      <c r="D15">
        <v>-1.2E-2</v>
      </c>
      <c r="H15">
        <v>-1.2E-2</v>
      </c>
      <c r="I15">
        <v>-7.0000000000000001E-3</v>
      </c>
      <c r="O15">
        <v>-7.0000000000000001E-3</v>
      </c>
      <c r="P15">
        <v>-1.9E-2</v>
      </c>
    </row>
    <row r="16" spans="1:16" x14ac:dyDescent="0.45">
      <c r="A16" s="2" t="s">
        <v>44</v>
      </c>
      <c r="M16">
        <v>0.08</v>
      </c>
      <c r="O16">
        <v>0.08</v>
      </c>
      <c r="P16">
        <v>0.08</v>
      </c>
    </row>
    <row r="17" spans="1:16" x14ac:dyDescent="0.45">
      <c r="A17" s="2" t="s">
        <v>49</v>
      </c>
      <c r="B17">
        <v>-0.222</v>
      </c>
      <c r="C17">
        <v>-0.309</v>
      </c>
      <c r="D17">
        <v>-0.249</v>
      </c>
      <c r="E17">
        <v>-2.6999999999999996E-2</v>
      </c>
      <c r="F17">
        <v>-0.15200000000000002</v>
      </c>
      <c r="G17">
        <v>-0.31</v>
      </c>
      <c r="H17">
        <v>-1.2690000000000001</v>
      </c>
      <c r="I17">
        <v>-0.17400000000000002</v>
      </c>
      <c r="J17">
        <v>1.2E-2</v>
      </c>
      <c r="K17">
        <v>1.2E-2</v>
      </c>
      <c r="L17">
        <v>3.8999999999999979E-2</v>
      </c>
      <c r="M17">
        <v>0.14999999999999997</v>
      </c>
      <c r="N17">
        <v>0.17400000000000004</v>
      </c>
      <c r="O17">
        <v>0.21300000000000013</v>
      </c>
      <c r="P17">
        <v>-1.0559999999999998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6E2A-1AF5-4319-ABE9-E2DA40749355}">
  <dimension ref="A1:R27"/>
  <sheetViews>
    <sheetView workbookViewId="0"/>
  </sheetViews>
  <sheetFormatPr defaultRowHeight="14.25" x14ac:dyDescent="0.45"/>
  <cols>
    <col min="1" max="1" width="22.3984375" bestFit="1" customWidth="1"/>
    <col min="11" max="11" width="22.3984375" bestFit="1" customWidth="1"/>
  </cols>
  <sheetData>
    <row r="1" spans="1:18" x14ac:dyDescent="0.45">
      <c r="A1" t="s">
        <v>54</v>
      </c>
      <c r="B1" t="s">
        <v>50</v>
      </c>
    </row>
    <row r="2" spans="1:18" x14ac:dyDescent="0.45">
      <c r="B2" t="s">
        <v>21</v>
      </c>
    </row>
    <row r="3" spans="1:18" x14ac:dyDescent="0.45">
      <c r="A3" t="s">
        <v>48</v>
      </c>
      <c r="B3" t="s">
        <v>11</v>
      </c>
      <c r="C3" t="s">
        <v>27</v>
      </c>
      <c r="D3" t="s">
        <v>35</v>
      </c>
      <c r="E3" t="s">
        <v>39</v>
      </c>
      <c r="F3" t="s">
        <v>40</v>
      </c>
      <c r="G3" t="s">
        <v>41</v>
      </c>
    </row>
    <row r="4" spans="1:18" x14ac:dyDescent="0.45">
      <c r="A4" t="s">
        <v>36</v>
      </c>
      <c r="D4">
        <v>1</v>
      </c>
    </row>
    <row r="5" spans="1:18" x14ac:dyDescent="0.45">
      <c r="A5" t="s">
        <v>45</v>
      </c>
      <c r="F5">
        <v>1</v>
      </c>
    </row>
    <row r="6" spans="1:18" x14ac:dyDescent="0.45">
      <c r="A6" t="s">
        <v>43</v>
      </c>
      <c r="E6">
        <v>1</v>
      </c>
    </row>
    <row r="7" spans="1:18" x14ac:dyDescent="0.45">
      <c r="A7" t="s">
        <v>28</v>
      </c>
    </row>
    <row r="8" spans="1:18" x14ac:dyDescent="0.45">
      <c r="A8" t="s">
        <v>15</v>
      </c>
      <c r="E8">
        <v>1</v>
      </c>
      <c r="G8">
        <v>1</v>
      </c>
    </row>
    <row r="9" spans="1:18" x14ac:dyDescent="0.45">
      <c r="A9" t="s">
        <v>17</v>
      </c>
    </row>
    <row r="10" spans="1:18" x14ac:dyDescent="0.45">
      <c r="A10" t="s">
        <v>31</v>
      </c>
    </row>
    <row r="11" spans="1:18" x14ac:dyDescent="0.45">
      <c r="A11" t="s">
        <v>24</v>
      </c>
      <c r="B11">
        <v>1</v>
      </c>
      <c r="D11">
        <v>1</v>
      </c>
      <c r="E11">
        <v>1</v>
      </c>
      <c r="F11">
        <v>1</v>
      </c>
      <c r="G11">
        <v>1</v>
      </c>
    </row>
    <row r="12" spans="1:18" x14ac:dyDescent="0.45">
      <c r="A12" t="s">
        <v>22</v>
      </c>
      <c r="B12">
        <v>1</v>
      </c>
      <c r="C12">
        <v>1</v>
      </c>
      <c r="D12">
        <v>1</v>
      </c>
      <c r="F12">
        <v>1</v>
      </c>
      <c r="G12">
        <v>1</v>
      </c>
    </row>
    <row r="13" spans="1:18" x14ac:dyDescent="0.45">
      <c r="A13" t="s">
        <v>19</v>
      </c>
      <c r="D13">
        <v>1</v>
      </c>
    </row>
    <row r="14" spans="1:18" x14ac:dyDescent="0.45">
      <c r="A14" t="s">
        <v>44</v>
      </c>
      <c r="R14" s="3"/>
    </row>
    <row r="18" spans="1:8" x14ac:dyDescent="0.45">
      <c r="B18" t="s">
        <v>12</v>
      </c>
    </row>
    <row r="19" spans="1:8" x14ac:dyDescent="0.45">
      <c r="A19" t="s">
        <v>48</v>
      </c>
      <c r="B19" t="s">
        <v>11</v>
      </c>
      <c r="C19" t="s">
        <v>27</v>
      </c>
      <c r="D19" t="s">
        <v>35</v>
      </c>
      <c r="E19" t="s">
        <v>39</v>
      </c>
      <c r="F19" t="s">
        <v>40</v>
      </c>
      <c r="G19" t="s">
        <v>41</v>
      </c>
    </row>
    <row r="20" spans="1:8" x14ac:dyDescent="0.45">
      <c r="A20" t="s">
        <v>43</v>
      </c>
      <c r="G20">
        <v>1</v>
      </c>
      <c r="H20">
        <f>SUM(B20:G20)</f>
        <v>1</v>
      </c>
    </row>
    <row r="21" spans="1:8" x14ac:dyDescent="0.45">
      <c r="A21" t="s">
        <v>28</v>
      </c>
      <c r="C21">
        <v>1</v>
      </c>
      <c r="D21">
        <v>1</v>
      </c>
      <c r="E21">
        <v>1</v>
      </c>
      <c r="F21">
        <v>1</v>
      </c>
      <c r="G21">
        <v>1</v>
      </c>
      <c r="H21">
        <f t="shared" ref="H21:H27" si="0">SUM(B21:G21)</f>
        <v>5</v>
      </c>
    </row>
    <row r="22" spans="1:8" x14ac:dyDescent="0.45">
      <c r="A22" t="s">
        <v>15</v>
      </c>
      <c r="B22">
        <v>1</v>
      </c>
      <c r="E22">
        <v>1</v>
      </c>
      <c r="G22">
        <v>1</v>
      </c>
      <c r="H22">
        <f t="shared" si="0"/>
        <v>3</v>
      </c>
    </row>
    <row r="23" spans="1:8" x14ac:dyDescent="0.45">
      <c r="A23" t="s">
        <v>17</v>
      </c>
      <c r="B23">
        <v>1</v>
      </c>
      <c r="C23">
        <v>1</v>
      </c>
      <c r="D23">
        <v>1</v>
      </c>
      <c r="F23">
        <v>1</v>
      </c>
      <c r="H23">
        <f t="shared" si="0"/>
        <v>4</v>
      </c>
    </row>
    <row r="24" spans="1:8" x14ac:dyDescent="0.45">
      <c r="A24" t="s">
        <v>31</v>
      </c>
      <c r="C24">
        <v>1</v>
      </c>
      <c r="D24">
        <v>1</v>
      </c>
      <c r="H24">
        <f t="shared" si="0"/>
        <v>2</v>
      </c>
    </row>
    <row r="25" spans="1:8" x14ac:dyDescent="0.45">
      <c r="A25" t="s">
        <v>22</v>
      </c>
      <c r="E25">
        <v>1</v>
      </c>
      <c r="H25">
        <f t="shared" si="0"/>
        <v>1</v>
      </c>
    </row>
    <row r="26" spans="1:8" x14ac:dyDescent="0.45">
      <c r="A26" t="s">
        <v>19</v>
      </c>
      <c r="B26">
        <v>1</v>
      </c>
      <c r="H26">
        <f t="shared" si="0"/>
        <v>1</v>
      </c>
    </row>
    <row r="27" spans="1:8" x14ac:dyDescent="0.45">
      <c r="A27" t="s">
        <v>44</v>
      </c>
      <c r="F27">
        <v>1</v>
      </c>
      <c r="H27">
        <f t="shared" si="0"/>
        <v>1</v>
      </c>
    </row>
  </sheetData>
  <conditionalFormatting sqref="R14">
    <cfRule type="colorScale" priority="2">
      <colorScale>
        <cfvo type="num" val="-0.3"/>
        <cfvo type="num" val="0"/>
        <cfvo type="num" val="0.3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kouba_et_al_2025_lasso_coeffs</vt:lpstr>
      <vt:lpstr>kouba_et_al_2025_top_3_marss_co</vt:lpstr>
      <vt:lpstr>Ensemble attempt</vt:lpstr>
      <vt:lpstr>Pivot incl. Intercept</vt:lpstr>
      <vt:lpstr>Coefs for Ensemble Calc</vt:lpstr>
      <vt:lpstr>Double-sp ensemble calc</vt:lpstr>
      <vt:lpstr>pred_coef_stat_sp</vt:lpstr>
      <vt:lpstr>pred_stat_sp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Kouba, Claire</cp:lastModifiedBy>
  <dcterms:created xsi:type="dcterms:W3CDTF">2026-01-14T22:03:05Z</dcterms:created>
  <dcterms:modified xsi:type="dcterms:W3CDTF">2026-01-14T23:16:34Z</dcterms:modified>
</cp:coreProperties>
</file>